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746B549D-CD50-4A1C-B8B8-F970A603FDF3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/>
  <c r="B89" i="1"/>
  <c r="B66" i="1"/>
  <c r="B56" i="1"/>
  <c r="B59" i="1" s="1"/>
  <c r="B48" i="1"/>
  <c r="B68" i="1" l="1"/>
  <c r="B93" i="1" s="1"/>
  <c r="B100" i="1" s="1"/>
  <c r="B31" i="1"/>
  <c r="B39" i="1"/>
  <c r="B24" i="1"/>
  <c r="B33" i="1" s="1"/>
  <c r="B18" i="1"/>
  <c r="B41" i="1" l="1"/>
  <c r="B49" i="1" s="1"/>
</calcChain>
</file>

<file path=xl/sharedStrings.xml><?xml version="1.0" encoding="utf-8"?>
<sst xmlns="http://schemas.openxmlformats.org/spreadsheetml/2006/main" count="58" uniqueCount="56">
  <si>
    <t>Client: TUNBOW PROPERTIES LIMITED</t>
  </si>
  <si>
    <t>Year Ended: 31 December 2023</t>
  </si>
  <si>
    <t>BALANCE SHEET</t>
  </si>
  <si>
    <t>Non-current assets</t>
  </si>
  <si>
    <t>Investment in properties</t>
  </si>
  <si>
    <t>Plant, property and equipment</t>
  </si>
  <si>
    <t>Current assets</t>
  </si>
  <si>
    <t>Deposit</t>
  </si>
  <si>
    <t>Prepayment</t>
  </si>
  <si>
    <t>Cash and bank balances</t>
  </si>
  <si>
    <t>Current liabilities</t>
  </si>
  <si>
    <t>Accruals</t>
  </si>
  <si>
    <t>Tax payables</t>
  </si>
  <si>
    <t>Deposit received</t>
  </si>
  <si>
    <t>Amount due to ultimate holding co</t>
  </si>
  <si>
    <t>Net Current Liabilities</t>
  </si>
  <si>
    <t>Non-Current liabilities</t>
  </si>
  <si>
    <t>Deposits received</t>
  </si>
  <si>
    <t>Deferred tax liabilities</t>
  </si>
  <si>
    <t>Net assets</t>
  </si>
  <si>
    <t>Share capital and reserve</t>
  </si>
  <si>
    <t>Share capital</t>
  </si>
  <si>
    <t>(Retained profit) / acc. loss b/f</t>
  </si>
  <si>
    <t>(Profit) / Loss for the period</t>
  </si>
  <si>
    <t>Control</t>
  </si>
  <si>
    <t>PROFIT &amp; LOSS</t>
  </si>
  <si>
    <t>Turnover</t>
  </si>
  <si>
    <t>Rental income</t>
  </si>
  <si>
    <t>Gross (profit) / loss</t>
  </si>
  <si>
    <t>GP (%)</t>
  </si>
  <si>
    <t>Other reveune</t>
  </si>
  <si>
    <t>Bank interest income</t>
  </si>
  <si>
    <t>Commission paid</t>
  </si>
  <si>
    <t>Administration expenses</t>
  </si>
  <si>
    <t>Auditor's remuneration</t>
  </si>
  <si>
    <t>Bank charge</t>
  </si>
  <si>
    <t>Building management fee</t>
  </si>
  <si>
    <t>Business registration fee</t>
  </si>
  <si>
    <t xml:space="preserve">Depreciation </t>
  </si>
  <si>
    <t>Fair value loss on investment properties</t>
  </si>
  <si>
    <t>Insurance expense</t>
  </si>
  <si>
    <t>Legal and professional fee</t>
  </si>
  <si>
    <t>Office expenses</t>
  </si>
  <si>
    <t>Rent and rates</t>
  </si>
  <si>
    <t>Repairs and maintenances</t>
  </si>
  <si>
    <t>Stamp duty</t>
  </si>
  <si>
    <t>Sundry expenses</t>
  </si>
  <si>
    <t>Utility</t>
  </si>
  <si>
    <t>(Profit) / Loss before tax</t>
  </si>
  <si>
    <t>Taxation</t>
  </si>
  <si>
    <t>Income tax (credit) / expense</t>
  </si>
  <si>
    <t>Deferred Tax</t>
  </si>
  <si>
    <t>2023</t>
  </si>
  <si>
    <t>Per audit WP</t>
  </si>
  <si>
    <t>HK$</t>
  </si>
  <si>
    <t>Dr./(Cr.)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</si>
</sst>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HK$&quot;#,##0_);\(&quot;HK$&quot;#,##0\)"/>
    <numFmt numFmtId="165" formatCode="&quot;HK$&quot;#,##0_);[Red]\(&quot;HK$&quot;#,##0\)"/>
    <numFmt numFmtId="166" formatCode="&quot;HK$&quot;#,##0.00_);\(&quot;HK$&quot;#,##0.00\)"/>
    <numFmt numFmtId="167" formatCode="&quot;HK$&quot;#,##0.00_);[Red]\(&quot;HK$&quot;#,##0.00\)"/>
    <numFmt numFmtId="168" formatCode="_(&quot;HK$&quot;* #,##0_);_(&quot;HK$&quot;* \(#,##0\);_(&quot;HK$&quot;* &quot;-&quot;_);_(@_)"/>
    <numFmt numFmtId="169" formatCode="_(&quot;HK$&quot;* #,##0.00_);_(&quot;HK$&quot;* \(#,##0.00\);_(&quot;HK$&quot;* &quot;-&quot;??_);_(@_)"/>
    <numFmt numFmtId="170" formatCode="_-* #,##0_-;\-* #,##0_-;_-* &quot;-&quot;_-;_-@_-"/>
    <numFmt numFmtId="171" formatCode="_-* #,##0.00_-;\-* #,##0.00_-;_-* &quot;-&quot;??_-;_-@_-"/>
    <numFmt numFmtId="172" formatCode="_-&quot;$&quot;* #,##0.00_-;\-&quot;$&quot;* #,##0.00_-;_-&quot;$&quot;* &quot;-&quot;??_-;_-@_-"/>
    <numFmt numFmtId="173" formatCode="_ * #,##0_ ;_ * \-#,##0_ ;_ * &quot;-&quot;_ ;_ @_ "/>
    <numFmt numFmtId="174" formatCode="_ * #,##0.00_ ;_ * \-#,##0.00_ ;_ * &quot;-&quot;??_ ;_ @_ "/>
    <numFmt numFmtId="175" formatCode="0.0%"/>
    <numFmt numFmtId="176" formatCode="#,##0.0_);\(#,##0.0\)"/>
    <numFmt numFmtId="177" formatCode="_-#,##0_-;\(#,##0\);_-\ \ &quot;-&quot;_-;_-@_-"/>
    <numFmt numFmtId="178" formatCode="_-#,##0.00_-;\(#,##0.00\);_-\ \ &quot;-&quot;_-;_-@_-"/>
    <numFmt numFmtId="179" formatCode="mmm/dd/yyyy;_-\ &quot;N/A&quot;_-;_-\ &quot;-&quot;_-"/>
    <numFmt numFmtId="180" formatCode="mmm/yyyy;_-\ &quot;N/A&quot;_-;_-\ &quot;-&quot;_-"/>
    <numFmt numFmtId="181" formatCode="_-#,##0%_-;\(#,##0%\);_-\ &quot;-&quot;_-"/>
    <numFmt numFmtId="182" formatCode="_-#,###,_-;\(#,###,\);_-\ \ &quot;-&quot;_-;_-@_-"/>
    <numFmt numFmtId="183" formatCode="_-#,###.00,_-;\(#,###.00,\);_-\ \ &quot;-&quot;_-;_-@_-"/>
    <numFmt numFmtId="184" formatCode="_-#0&quot;.&quot;0,_-;\(#0&quot;.&quot;0,\);_-\ \ &quot;-&quot;_-;_-@_-"/>
    <numFmt numFmtId="185" formatCode="_-#0&quot;.&quot;0000_-;\(#0&quot;.&quot;0000\);_-\ \ &quot;-&quot;_-;_-@_-"/>
    <numFmt numFmtId="186" formatCode="_-* #,##0.0000000000_-;\-* #,##0.0000000000_-;_-* &quot;-&quot;??_-;_-@_-"/>
    <numFmt numFmtId="187" formatCode="#,##0;\-#,##0;&quot;-&quot;"/>
    <numFmt numFmtId="188" formatCode="\(#,##0\)\ "/>
    <numFmt numFmtId="189" formatCode="[Blue]0.0%;[Blue]\(0.0%\)"/>
    <numFmt numFmtId="190" formatCode="0.0%;\(0.0%\)"/>
    <numFmt numFmtId="191" formatCode="[Red]0.0%;[Red]\(0.0%\)"/>
    <numFmt numFmtId="192" formatCode="[Blue]#,##0_);[Blue]\(#,##0\)"/>
    <numFmt numFmtId="193" formatCode="#,##0_);[Blue]\(#,##0\)"/>
    <numFmt numFmtId="194" formatCode="&quot;\&quot;#,##0.00;&quot;\&quot;&quot;\&quot;&quot;\&quot;&quot;\&quot;&quot;\&quot;&quot;\&quot;&quot;\&quot;&quot;\&quot;&quot;\&quot;&quot;\&quot;&quot;\&quot;&quot;\&quot;&quot;\&quot;&quot;\&quot;&quot;\&quot;\-#,##0.00"/>
    <numFmt numFmtId="195" formatCode="0.0000"/>
    <numFmt numFmtId="196" formatCode="#,##0;\(#,##0\)"/>
    <numFmt numFmtId="197" formatCode="#,##0.0"/>
    <numFmt numFmtId="198" formatCode="* \(#,##0\);* #,##0_);&quot;-&quot;??_);@"/>
    <numFmt numFmtId="199" formatCode="General_)"/>
    <numFmt numFmtId="200" formatCode="\$#,##0.00;\(\$#,##0.00\)"/>
    <numFmt numFmtId="201" formatCode="#,##0.000000"/>
    <numFmt numFmtId="202" formatCode="* #,##0_);* \(#,##0\);&quot;-&quot;??_);@"/>
    <numFmt numFmtId="203" formatCode="\$#,##0;\(\$#,##0\)"/>
    <numFmt numFmtId="204" formatCode="_-[$€-2]* #,##0.00_-;\-[$€-2]* #,##0.00_-;_-[$€-2]* &quot;-&quot;??_-"/>
    <numFmt numFmtId="205" formatCode="0.00_)"/>
    <numFmt numFmtId="206" formatCode="0%_);\(0%\)"/>
    <numFmt numFmtId="207" formatCode="0%;\(0%\)"/>
    <numFmt numFmtId="208" formatCode="mmmm\-yy"/>
    <numFmt numFmtId="209" formatCode="\ \ @"/>
    <numFmt numFmtId="210" formatCode="#,##0_);\(#,##0_)"/>
    <numFmt numFmtId="211" formatCode="&quot;?&quot;#,##0_);[Red]\(&quot;?&quot;#,##0\)"/>
    <numFmt numFmtId="212" formatCode="&quot;?&quot;#,##0.00_);\(&quot;?&quot;#,##0.00\)"/>
    <numFmt numFmtId="213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14" formatCode="_ &quot;\&quot;* #,##0_ ;_ &quot;\&quot;* \-#,##0_ ;_ &quot;\&quot;* &quot;-&quot;_ ;_ @_ "/>
    <numFmt numFmtId="215" formatCode="_ &quot;\&quot;* #,##0.00_ ;_ &quot;\&quot;* \-#,##0.00_ ;_ &quot;\&quot;* &quot;-&quot;??_ ;_ @_ "/>
    <numFmt numFmtId="216" formatCode="&quot;\&quot;#,##0.00;[Red]&quot;\&quot;\-#,##0.00"/>
    <numFmt numFmtId="217" formatCode="&quot;\&quot;#,##0;[Red]&quot;\&quot;\-#,##0"/>
    <numFmt numFmtId="218" formatCode="[$-F800]dddd\,\ mmmm\ dd\,\ yyyy"/>
    <numFmt numFmtId="219" formatCode="&quot;$&quot;#,##0;\-&quot;$&quot;#,##0"/>
    <numFmt numFmtId="220" formatCode="&quot;$&quot;#,##0.00;\-&quot;$&quot;#,##0.00"/>
    <numFmt numFmtId="221" formatCode="_([$$-409]* #,##0.00_);_([$$-409]* \(#,##0.00\);_([$$-409]* &quot;-&quot;??_);_(@_)"/>
    <numFmt numFmtId="222" formatCode="[$-411]ggge&quot;年&quot;m&quot;月&quot;d&quot;日&quot;;@"/>
    <numFmt numFmtId="223" formatCode="_-* #,##0.00_-;\-* #,##0.00_-;_-* \-??_-;_-@_-"/>
    <numFmt numFmtId="224" formatCode="&quot;\&quot;#,##0;&quot;\&quot;&quot;\&quot;&quot;\&quot;&quot;\&quot;\-#,##0"/>
    <numFmt numFmtId="225" formatCode="&quot;\&quot;#,##0.00;&quot;\&quot;&quot;\&quot;&quot;\&quot;&quot;\&quot;&quot;\&quot;&quot;\&quot;&quot;\&quot;&quot;\&quot;&quot;\&quot;&quot;\&quot;&quot;\&quot;&quot;\&quot;&quot;\&quot;&quot;\&quot;&quot;\&quot;&quot;\&quot;\-#,##0.00"/>
    <numFmt numFmtId="226" formatCode="&quot;\&quot;#,##0;[Red]&quot;\&quot;&quot;\&quot;&quot;\&quot;&quot;\&quot;&quot;\&quot;&quot;\&quot;&quot;\&quot;&quot;\&quot;&quot;\&quot;&quot;\&quot;&quot;\&quot;&quot;\&quot;&quot;\&quot;&quot;\&quot;&quot;\&quot;&quot;\&quot;\-#,##0"/>
    <numFmt numFmtId="227" formatCode="&quot;\&quot;#,##0;[Red]&quot;\&quot;&quot;\&quot;&quot;\&quot;&quot;\&quot;\-#,##0"/>
    <numFmt numFmtId="228" formatCode="&quot;\&quot;#,##0.00;[Red]&quot;\&quot;&quot;\&quot;&quot;\&quot;&quot;\&quot;&quot;\&quot;&quot;\&quot;&quot;\&quot;&quot;\&quot;&quot;\&quot;&quot;\&quot;&quot;\&quot;&quot;\&quot;&quot;\&quot;&quot;\&quot;&quot;\&quot;&quot;\&quot;&quot;\&quot;&quot;\&quot;\-#,##0.00"/>
    <numFmt numFmtId="229" formatCode="&quot;\&quot;#,##0.00;&quot;\&quot;&quot;\&quot;&quot;\&quot;&quot;\&quot;\-#,##0.00"/>
    <numFmt numFmtId="230" formatCode="_(* #,##0_);_(* \(#,##0\);_(* &quot; - &quot;_);_(@_)"/>
    <numFmt numFmtId="231" formatCode="_ &quot;\&quot;* #,##0.00_ ;_ &quot;\&quot;* &quot;\&quot;&quot;\&quot;&quot;\&quot;&quot;\&quot;&quot;\&quot;&quot;\&quot;&quot;\&quot;&quot;\&quot;&quot;\&quot;&quot;\&quot;&quot;\&quot;&quot;\&quot;&quot;\&quot;&quot;\&quot;&quot;\&quot;&quot;\&quot;\-#,##0.00_ ;_ &quot;\&quot;* &quot;-&quot;??_ ;_ @_ "/>
    <numFmt numFmtId="232" formatCode="#,##0%"/>
    <numFmt numFmtId="233" formatCode="#,##0.0%"/>
    <numFmt numFmtId="234" formatCode="&quot;\&quot;#,##0.00;[Red]&quot;\&quot;&quot;\&quot;&quot;\&quot;&quot;\&quot;&quot;\&quot;&quot;\&quot;&quot;\&quot;&quot;\&quot;&quot;\&quot;&quot;\&quot;&quot;\&quot;&quot;\&quot;&quot;\&quot;&quot;\&quot;&quot;\&quot;&quot;\&quot;\-#,##0.00"/>
    <numFmt numFmtId="235" formatCode="&quot;HK$&quot;\ #,##0;&quot;HK$&quot;\ \-#,##0"/>
    <numFmt numFmtId="236" formatCode="&quot;HK$&quot;\ #,##0.00;&quot;HK$&quot;\ \-#,##0.00"/>
    <numFmt numFmtId="237" formatCode="_ &quot;S/&quot;* #,##0.00_ ;_ &quot;S/&quot;* \-#,##0.00_ ;_ &quot;S/&quot;* &quot;-&quot;??_ ;_ @_ "/>
    <numFmt numFmtId="238" formatCode="&quot;HK$&quot;\ #,##0;[Red]&quot;HK$&quot;\ \-#,##0"/>
    <numFmt numFmtId="239" formatCode="_ * #,##0_ ;_ * &quot;\&quot;&quot;\&quot;&quot;\&quot;&quot;\&quot;&quot;\&quot;&quot;\&quot;\-#,##0_ ;_ * &quot;-&quot;_ ;_ @_ "/>
    <numFmt numFmtId="240" formatCode="_ * #,##0_)_k_r_ ;_ * \(#,##0\)_k_r_ ;_ * &quot;-&quot;_)_k_r_ ;_ @_ "/>
    <numFmt numFmtId="241" formatCode="_ * #,##0_)&quot;kr&quot;_ ;_ * \(#,##0\)&quot;kr&quot;_ ;_ * &quot;-&quot;_)&quot;kr&quot;_ ;_ @_ "/>
    <numFmt numFmtId="242" formatCode="#,##0.00\ &quot;kr&quot;;[Red]\-#,##0.00\ &quot;kr&quot;"/>
    <numFmt numFmtId="243" formatCode="#,##0\ &quot;DM&quot;;[Red]\-#,##0\ &quot;DM&quot;"/>
    <numFmt numFmtId="244" formatCode="#,##0.00\ &quot;DM&quot;;[Red]\-#,##0.00\ &quot;DM&quot;"/>
    <numFmt numFmtId="245" formatCode="m/d"/>
    <numFmt numFmtId="246" formatCode="_(&quot;P&quot;* #,##0_);_(&quot;P&quot;* \(#,##0\);_(&quot;P&quot;* &quot;-&quot;_);_(@_)"/>
    <numFmt numFmtId="247" formatCode="yy/m/d"/>
    <numFmt numFmtId="248" formatCode="_ &quot;ㄓ&quot;* #,##0_ ;_ &quot;ㄓ&quot;* \-#,##0_ ;_ &quot;ㄓ&quot;* &quot;-&quot;_ ;_ @_ "/>
    <numFmt numFmtId="249" formatCode="_ &quot;ㄓ&quot;* #,##0.00_ ;_ &quot;ㄓ&quot;* \-#,##0.00_ ;_ &quot;ㄓ&quot;* &quot;-&quot;??_ ;_ @_ "/>
  </numFmts>
  <fonts count="20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2"/>
      <name val="宋体"/>
      <family val="3"/>
      <charset val="134"/>
    </font>
    <font>
      <sz val="11"/>
      <name val="ＭＳ Ｐゴシック"/>
      <family val="2"/>
      <charset val="134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2"/>
      <name val="???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Geneva"/>
      <family val="2"/>
    </font>
    <font>
      <sz val="10"/>
      <name val="Tahoma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u/>
      <sz val="12"/>
      <color indexed="12"/>
      <name val="·s²Ó©úÅé"/>
      <family val="1"/>
    </font>
    <font>
      <sz val="13"/>
      <name val="Tms Rmn"/>
      <family val="1"/>
    </font>
    <font>
      <u/>
      <sz val="12"/>
      <color indexed="36"/>
      <name val="·s²Ó©úÅé"/>
      <family val="1"/>
    </font>
    <font>
      <sz val="8"/>
      <name val="Times New Roman"/>
      <family val="1"/>
    </font>
    <font>
      <b/>
      <sz val="10"/>
      <name val="Helv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color indexed="0"/>
      <name val="MS Sans Serif"/>
      <family val="2"/>
    </font>
    <font>
      <sz val="10"/>
      <name val="MS Serif"/>
      <family val="1"/>
    </font>
    <font>
      <sz val="12"/>
      <name val="Helv"/>
      <family val="2"/>
    </font>
    <font>
      <sz val="12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sz val="8"/>
      <name val="Arial"/>
      <family val="2"/>
    </font>
    <font>
      <u/>
      <sz val="6"/>
      <color indexed="36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MS Sans Serif"/>
      <family val="2"/>
    </font>
    <font>
      <u/>
      <sz val="6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宋体"/>
      <family val="3"/>
      <charset val="134"/>
    </font>
    <font>
      <sz val="10"/>
      <color indexed="8"/>
      <name val="MS Sans Serif"/>
      <family val="2"/>
    </font>
    <font>
      <b/>
      <sz val="11"/>
      <color indexed="16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sz val="8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0"/>
      <name val="Courier"/>
      <family val="3"/>
    </font>
    <font>
      <sz val="11"/>
      <name val="明朝"/>
      <family val="1"/>
      <charset val="255"/>
    </font>
    <font>
      <sz val="12"/>
      <name val="돋움체"/>
      <family val="3"/>
    </font>
    <font>
      <sz val="11"/>
      <name val="돋움"/>
      <family val="2"/>
    </font>
    <font>
      <sz val="12"/>
      <name val="Courier"/>
      <family val="3"/>
    </font>
    <font>
      <sz val="10"/>
      <name val="俵俽 僑僔僢僋"/>
      <charset val="134"/>
    </font>
    <font>
      <sz val="10"/>
      <name val="明朝"/>
      <family val="1"/>
      <charset val="255"/>
    </font>
    <font>
      <sz val="11"/>
      <name val="俵俽 俹僑僔僢僋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2"/>
      <name val="Times New Roman"/>
      <family val="1"/>
    </font>
    <font>
      <sz val="12"/>
      <name val="Arial Unicode MS"/>
      <family val="2"/>
      <charset val="136"/>
    </font>
    <font>
      <b/>
      <sz val="10"/>
      <color indexed="10"/>
      <name val="Times New Roman"/>
      <family val="1"/>
    </font>
    <font>
      <sz val="12"/>
      <color indexed="8"/>
      <name val="新細明體"/>
      <family val="1"/>
      <charset val="136"/>
    </font>
    <font>
      <b/>
      <sz val="10"/>
      <color indexed="8"/>
      <name val="Times New Roman"/>
      <family val="1"/>
    </font>
    <font>
      <sz val="11"/>
      <color indexed="8"/>
      <name val="Arial"/>
      <family val="2"/>
    </font>
    <font>
      <sz val="12"/>
      <color theme="1"/>
      <name val="Calibri"/>
      <family val="1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2"/>
      <color rgb="FF000000"/>
      <name val="PMingLiu"/>
      <family val="1"/>
    </font>
    <font>
      <sz val="12"/>
      <name val="宋体"/>
      <family val="3"/>
      <charset val="136"/>
    </font>
    <font>
      <sz val="10"/>
      <name val="宋体"/>
    </font>
    <font>
      <sz val="11"/>
      <color indexed="8"/>
      <name val="宋体"/>
    </font>
    <font>
      <sz val="11"/>
      <color indexed="9"/>
      <name val="宋体"/>
    </font>
    <font>
      <sz val="11"/>
      <color indexed="17"/>
      <name val="宋体"/>
    </font>
    <font>
      <sz val="11"/>
      <color indexed="20"/>
      <name val="宋体"/>
    </font>
    <font>
      <sz val="11"/>
      <color indexed="60"/>
      <name val="宋体"/>
    </font>
    <font>
      <i/>
      <sz val="11"/>
      <color indexed="23"/>
      <name val="宋体"/>
    </font>
    <font>
      <sz val="11"/>
      <color indexed="1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52"/>
      <name val="宋体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</font>
    <font>
      <sz val="10"/>
      <name val="ＭＳ Ｐ明朝"/>
      <family val="1"/>
    </font>
    <font>
      <sz val="11"/>
      <color theme="1"/>
      <name val="Calibri"/>
      <family val="2"/>
      <charset val="134"/>
      <scheme val="minor"/>
    </font>
    <font>
      <sz val="12"/>
      <name val="新細明體"/>
      <family val="1"/>
    </font>
    <font>
      <u/>
      <sz val="8.5"/>
      <color indexed="12"/>
      <name val="Arial"/>
      <family val="2"/>
    </font>
    <font>
      <sz val="10"/>
      <name val="MS Sans Serif"/>
      <family val="1"/>
    </font>
    <font>
      <sz val="12"/>
      <color theme="1"/>
      <name val="Cambria"/>
      <family val="2"/>
      <charset val="136"/>
      <scheme val="major"/>
    </font>
    <font>
      <sz val="11"/>
      <color theme="1"/>
      <name val="新細明體"/>
      <family val="1"/>
    </font>
    <font>
      <sz val="12"/>
      <color theme="1"/>
      <name val="新細明體"/>
      <family val="1"/>
    </font>
    <font>
      <sz val="11"/>
      <color indexed="8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indexed="8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sz val="8"/>
      <name val="Arial Cyr"/>
      <family val="2"/>
      <charset val="204"/>
    </font>
    <font>
      <sz val="1"/>
      <color indexed="8"/>
      <name val="Courier"/>
      <family val="3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sz val="12"/>
      <name val="¹ÙÅÁÃ¼"/>
      <family val="1"/>
    </font>
    <font>
      <b/>
      <sz val="1"/>
      <color indexed="8"/>
      <name val="Courier"/>
      <family val="3"/>
    </font>
    <font>
      <sz val="11"/>
      <color indexed="8"/>
      <name val="宋体"/>
      <family val="3"/>
      <charset val="136"/>
    </font>
    <font>
      <u/>
      <sz val="12"/>
      <color indexed="12"/>
      <name val="ËÎÌå"/>
      <family val="2"/>
      <charset val="134"/>
    </font>
    <font>
      <sz val="12"/>
      <name val="?Ia"/>
      <family val="1"/>
    </font>
    <font>
      <sz val="11"/>
      <color indexed="9"/>
      <name val="宋体"/>
      <family val="3"/>
      <charset val="136"/>
    </font>
    <font>
      <sz val="12"/>
      <name val="â·ö ¸þ"/>
      <family val="3"/>
      <charset val="134"/>
    </font>
    <font>
      <u/>
      <sz val="9"/>
      <color indexed="36"/>
      <name val="Times New Roman"/>
      <family val="1"/>
    </font>
    <font>
      <b/>
      <sz val="14"/>
      <name val="Helv"/>
      <family val="2"/>
    </font>
    <font>
      <sz val="12"/>
      <name val="±¼¸²Ã¼"/>
      <family val="3"/>
    </font>
    <font>
      <sz val="10"/>
      <color indexed="22"/>
      <name val="MS Sans Serif"/>
      <family val="2"/>
    </font>
    <font>
      <b/>
      <sz val="10"/>
      <color indexed="12"/>
      <name val="Times New Roman"/>
      <family val="1"/>
    </font>
    <font>
      <sz val="12"/>
      <name val="Tms Rmn"/>
      <family val="1"/>
    </font>
    <font>
      <b/>
      <u/>
      <sz val="16"/>
      <name val="Helv"/>
      <family val="2"/>
    </font>
    <font>
      <sz val="14"/>
      <name val="Tms Rmn"/>
      <family val="1"/>
    </font>
    <font>
      <sz val="10"/>
      <name val="Helv"/>
      <family val="2"/>
    </font>
    <font>
      <sz val="12"/>
      <name val="·s²Ó©úÅé"/>
      <family val="1"/>
      <charset val="136"/>
    </font>
    <font>
      <sz val="12"/>
      <name val="ÐÂ¼šÃ÷ów"/>
      <family val="3"/>
      <charset val="134"/>
    </font>
    <font>
      <sz val="12"/>
      <name val="ÐÂ¼Ã÷ów"/>
      <family val="2"/>
      <charset val="134"/>
    </font>
    <font>
      <u/>
      <sz val="12"/>
      <color indexed="36"/>
      <name val="ËÎÌå"/>
      <family val="2"/>
      <charset val="134"/>
    </font>
    <font>
      <b/>
      <sz val="9"/>
      <name val="Helv"/>
      <family val="2"/>
    </font>
    <font>
      <sz val="11"/>
      <name val="絡遺"/>
      <family val="2"/>
      <charset val="134"/>
    </font>
    <font>
      <sz val="10"/>
      <name val="MingLiU"/>
      <family val="3"/>
      <charset val="136"/>
    </font>
    <font>
      <b/>
      <sz val="16"/>
      <name val="宋体"/>
      <family val="3"/>
      <charset val="136"/>
    </font>
    <font>
      <u/>
      <sz val="12"/>
      <color indexed="36"/>
      <name val="宋体"/>
      <family val="3"/>
      <charset val="136"/>
    </font>
    <font>
      <sz val="11"/>
      <color indexed="17"/>
      <name val="宋体"/>
      <family val="3"/>
      <charset val="136"/>
    </font>
    <font>
      <sz val="10"/>
      <name val="宋体"/>
      <family val="3"/>
      <charset val="136"/>
    </font>
    <font>
      <sz val="11"/>
      <color indexed="20"/>
      <name val="宋体"/>
      <family val="3"/>
      <charset val="136"/>
    </font>
    <font>
      <sz val="12"/>
      <name val="官帕眉"/>
      <family val="1"/>
    </font>
    <font>
      <sz val="11"/>
      <color indexed="60"/>
      <name val="宋体"/>
      <family val="3"/>
      <charset val="136"/>
    </font>
    <font>
      <u/>
      <sz val="12"/>
      <color indexed="12"/>
      <name val="Times New Roman"/>
      <family val="1"/>
    </font>
    <font>
      <u/>
      <sz val="12"/>
      <color indexed="12"/>
      <name val="宋体"/>
      <family val="3"/>
      <charset val="136"/>
    </font>
    <font>
      <i/>
      <sz val="11"/>
      <color indexed="23"/>
      <name val="宋体"/>
      <family val="3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sz val="12"/>
      <name val="夥鰻羹"/>
      <family val="2"/>
      <charset val="134"/>
    </font>
    <font>
      <u/>
      <sz val="12"/>
      <color indexed="36"/>
      <name val="Times New Roman"/>
      <family val="1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u/>
      <sz val="7.5"/>
      <color indexed="12"/>
      <name val="Arial"/>
      <family val="2"/>
    </font>
    <font>
      <sz val="11"/>
      <color indexed="10"/>
      <name val="宋体"/>
      <family val="3"/>
      <charset val="136"/>
    </font>
    <font>
      <b/>
      <sz val="18"/>
      <color indexed="56"/>
      <name val="宋体"/>
      <family val="3"/>
      <charset val="136"/>
    </font>
    <font>
      <b/>
      <sz val="15"/>
      <color indexed="56"/>
      <name val="宋体"/>
      <family val="3"/>
      <charset val="136"/>
    </font>
    <font>
      <b/>
      <sz val="13"/>
      <color indexed="56"/>
      <name val="宋体"/>
      <family val="3"/>
      <charset val="136"/>
    </font>
    <font>
      <b/>
      <sz val="11"/>
      <color indexed="56"/>
      <name val="宋体"/>
      <family val="3"/>
      <charset val="136"/>
    </font>
    <font>
      <b/>
      <sz val="11"/>
      <color indexed="9"/>
      <name val="宋体"/>
      <family val="3"/>
      <charset val="136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name val="奔覆眉"/>
      <family val="2"/>
      <charset val="134"/>
    </font>
    <font>
      <sz val="11"/>
      <color indexed="52"/>
      <name val="宋体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3"/>
      <name val="Arial"/>
      <family val="2"/>
    </font>
    <font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6"/>
      <scheme val="minor"/>
    </font>
    <font>
      <sz val="9"/>
      <name val="Calibri"/>
      <family val="3"/>
      <charset val="136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9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49"/>
      </bottom>
      <diagonal/>
    </border>
  </borders>
  <cellStyleXfs count="3814">
    <xf numFmtId="0" fontId="0" fillId="0" borderId="0"/>
    <xf numFmtId="0" fontId="3" fillId="0" borderId="0">
      <alignment vertical="center"/>
    </xf>
    <xf numFmtId="37" fontId="11" fillId="0" borderId="10" applyFont="0" applyAlignment="0">
      <alignment horizontal="right" vertical="center"/>
    </xf>
    <xf numFmtId="3" fontId="11" fillId="0" borderId="10" applyFont="0" applyAlignment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  <xf numFmtId="43" fontId="8" fillId="0" borderId="0" applyNumberFormat="0" applyFill="0" applyProtection="0">
      <alignment vertical="center"/>
    </xf>
    <xf numFmtId="49" fontId="9" fillId="0" borderId="0" applyProtection="0">
      <alignment horizontal="left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8" fillId="0" borderId="0"/>
    <xf numFmtId="0" fontId="16" fillId="0" borderId="0">
      <alignment vertical="top"/>
    </xf>
    <xf numFmtId="0" fontId="11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38" fontId="19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38" fontId="19" fillId="0" borderId="0"/>
    <xf numFmtId="0" fontId="16" fillId="0" borderId="0">
      <alignment vertical="top"/>
    </xf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7" fillId="0" borderId="0"/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8" fillId="0" borderId="0"/>
    <xf numFmtId="0" fontId="17" fillId="0" borderId="0"/>
    <xf numFmtId="0" fontId="17" fillId="0" borderId="0"/>
    <xf numFmtId="0" fontId="16" fillId="0" borderId="0">
      <alignment vertical="top"/>
    </xf>
    <xf numFmtId="0" fontId="18" fillId="0" borderId="0"/>
    <xf numFmtId="0" fontId="17" fillId="0" borderId="0"/>
    <xf numFmtId="0" fontId="17" fillId="0" borderId="0"/>
    <xf numFmtId="0" fontId="16" fillId="0" borderId="0">
      <alignment vertical="top"/>
    </xf>
    <xf numFmtId="0" fontId="17" fillId="0" borderId="0"/>
    <xf numFmtId="0" fontId="18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8" fillId="0" borderId="0"/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8" fillId="0" borderId="0"/>
    <xf numFmtId="0" fontId="16" fillId="0" borderId="0">
      <alignment vertical="top"/>
    </xf>
    <xf numFmtId="0" fontId="16" fillId="0" borderId="0">
      <alignment vertical="top"/>
    </xf>
    <xf numFmtId="0" fontId="17" fillId="0" borderId="0"/>
    <xf numFmtId="0" fontId="16" fillId="0" borderId="0">
      <alignment vertical="top"/>
    </xf>
    <xf numFmtId="0" fontId="17" fillId="0" borderId="0"/>
    <xf numFmtId="177" fontId="9" fillId="0" borderId="0" applyFill="0" applyBorder="0" applyProtection="0">
      <alignment horizontal="right"/>
    </xf>
    <xf numFmtId="178" fontId="9" fillId="0" borderId="0" applyFill="0" applyBorder="0" applyProtection="0">
      <alignment horizontal="right"/>
    </xf>
    <xf numFmtId="179" fontId="20" fillId="0" borderId="0" applyFill="0" applyBorder="0" applyProtection="0">
      <alignment horizontal="center"/>
    </xf>
    <xf numFmtId="180" fontId="20" fillId="0" borderId="0" applyFill="0" applyBorder="0" applyProtection="0">
      <alignment horizontal="center"/>
    </xf>
    <xf numFmtId="181" fontId="21" fillId="0" borderId="0" applyFill="0" applyBorder="0" applyProtection="0">
      <alignment horizontal="right"/>
    </xf>
    <xf numFmtId="182" fontId="9" fillId="0" borderId="0" applyFill="0" applyBorder="0" applyProtection="0">
      <alignment horizontal="right"/>
    </xf>
    <xf numFmtId="183" fontId="9" fillId="0" borderId="0" applyFill="0" applyBorder="0" applyProtection="0">
      <alignment horizontal="right"/>
    </xf>
    <xf numFmtId="184" fontId="9" fillId="0" borderId="0" applyFill="0" applyBorder="0" applyProtection="0">
      <alignment horizontal="right"/>
    </xf>
    <xf numFmtId="185" fontId="9" fillId="0" borderId="0" applyFill="0" applyBorder="0" applyProtection="0">
      <alignment horizontal="right"/>
    </xf>
    <xf numFmtId="0" fontId="22" fillId="0" borderId="0" applyNumberFormat="0" applyFill="0" applyBorder="0" applyAlignment="0" applyProtection="0">
      <alignment vertical="top"/>
      <protection locked="0"/>
    </xf>
    <xf numFmtId="186" fontId="11" fillId="0" borderId="0" applyFont="0" applyFill="0" applyBorder="0" applyAlignment="0" applyProtection="0"/>
    <xf numFmtId="0" fontId="8" fillId="0" borderId="0"/>
    <xf numFmtId="175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11" fillId="0" borderId="0" applyNumberFormat="0" applyFont="0" applyFill="0" applyBorder="0" applyAlignment="0">
      <alignment horizontal="center"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17" fillId="0" borderId="0" applyBorder="0"/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18" fillId="0" borderId="0"/>
    <xf numFmtId="0" fontId="11" fillId="0" borderId="0" applyNumberFormat="0" applyFont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>
      <alignment horizontal="center" wrapText="1"/>
      <protection locked="0"/>
    </xf>
    <xf numFmtId="187" fontId="16" fillId="0" borderId="0" applyFill="0" applyBorder="0" applyAlignment="0"/>
    <xf numFmtId="188" fontId="17" fillId="0" borderId="0" applyFill="0" applyBorder="0" applyAlignment="0"/>
    <xf numFmtId="189" fontId="17" fillId="0" borderId="0" applyFill="0" applyBorder="0" applyAlignment="0"/>
    <xf numFmtId="190" fontId="17" fillId="0" borderId="0" applyFill="0" applyBorder="0" applyAlignment="0"/>
    <xf numFmtId="191" fontId="17" fillId="0" borderId="0" applyFill="0" applyBorder="0" applyAlignment="0"/>
    <xf numFmtId="192" fontId="17" fillId="0" borderId="0" applyFill="0" applyBorder="0" applyAlignment="0"/>
    <xf numFmtId="193" fontId="17" fillId="0" borderId="0" applyFill="0" applyBorder="0" applyAlignment="0"/>
    <xf numFmtId="188" fontId="17" fillId="0" borderId="0" applyFill="0" applyBorder="0" applyAlignment="0"/>
    <xf numFmtId="0" fontId="26" fillId="0" borderId="0"/>
    <xf numFmtId="0" fontId="27" fillId="0" borderId="13" applyNumberFormat="0" applyFill="0" applyProtection="0">
      <alignment horizontal="center"/>
    </xf>
    <xf numFmtId="0" fontId="28" fillId="0" borderId="14">
      <alignment horizontal="center"/>
    </xf>
    <xf numFmtId="43" fontId="3" fillId="0" borderId="0" applyFont="0" applyFill="0" applyBorder="0" applyAlignment="0" applyProtection="0">
      <alignment vertical="center"/>
    </xf>
    <xf numFmtId="194" fontId="17" fillId="0" borderId="0"/>
    <xf numFmtId="194" fontId="17" fillId="0" borderId="0"/>
    <xf numFmtId="194" fontId="17" fillId="0" borderId="0"/>
    <xf numFmtId="194" fontId="17" fillId="0" borderId="0"/>
    <xf numFmtId="194" fontId="17" fillId="0" borderId="0"/>
    <xf numFmtId="194" fontId="17" fillId="0" borderId="0"/>
    <xf numFmtId="194" fontId="17" fillId="0" borderId="0"/>
    <xf numFmtId="194" fontId="17" fillId="0" borderId="0"/>
    <xf numFmtId="192" fontId="17" fillId="0" borderId="0" applyFont="0" applyFill="0" applyBorder="0" applyAlignment="0" applyProtection="0"/>
    <xf numFmtId="195" fontId="17" fillId="0" borderId="0" applyFont="0" applyFill="0"/>
    <xf numFmtId="171" fontId="89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96" fontId="9" fillId="0" borderId="0"/>
    <xf numFmtId="37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39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97" fontId="9" fillId="0" borderId="0"/>
    <xf numFmtId="0" fontId="30" fillId="0" borderId="0" applyNumberFormat="0" applyAlignment="0">
      <alignment horizontal="left"/>
    </xf>
    <xf numFmtId="198" fontId="9" fillId="0" borderId="0" applyFill="0" applyBorder="0" applyProtection="0"/>
    <xf numFmtId="199" fontId="31" fillId="0" borderId="0"/>
    <xf numFmtId="188" fontId="17" fillId="0" borderId="0" applyFont="0" applyFill="0" applyBorder="0" applyAlignment="0" applyProtection="0"/>
    <xf numFmtId="5" fontId="23" fillId="0" borderId="0" applyFont="0" applyFill="0" applyBorder="0" applyAlignment="0" applyProtection="0"/>
    <xf numFmtId="7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00" fontId="9" fillId="0" borderId="0"/>
    <xf numFmtId="201" fontId="17" fillId="0" borderId="0">
      <protection locked="0"/>
    </xf>
    <xf numFmtId="14" fontId="16" fillId="0" borderId="0" applyFill="0" applyBorder="0" applyAlignment="0"/>
    <xf numFmtId="0" fontId="32" fillId="0" borderId="0" applyFont="0" applyFill="0" applyBorder="0" applyAlignment="0" applyProtection="0"/>
    <xf numFmtId="202" fontId="9" fillId="0" borderId="0" applyFill="0" applyBorder="0" applyProtection="0"/>
    <xf numFmtId="203" fontId="9" fillId="0" borderId="0"/>
    <xf numFmtId="192" fontId="17" fillId="0" borderId="0" applyFill="0" applyBorder="0" applyAlignment="0"/>
    <xf numFmtId="188" fontId="17" fillId="0" borderId="0" applyFill="0" applyBorder="0" applyAlignment="0"/>
    <xf numFmtId="192" fontId="17" fillId="0" borderId="0" applyFill="0" applyBorder="0" applyAlignment="0"/>
    <xf numFmtId="193" fontId="17" fillId="0" borderId="0" applyFill="0" applyBorder="0" applyAlignment="0"/>
    <xf numFmtId="188" fontId="17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0" fontId="35" fillId="53" borderId="10"/>
    <xf numFmtId="20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201" fontId="17" fillId="0" borderId="0">
      <protection locked="0"/>
    </xf>
    <xf numFmtId="38" fontId="35" fillId="54" borderId="0" applyNumberFormat="0" applyBorder="0" applyAlignment="0" applyProtection="0"/>
    <xf numFmtId="0" fontId="37" fillId="0" borderId="0">
      <alignment horizontal="left"/>
    </xf>
    <xf numFmtId="0" fontId="38" fillId="0" borderId="15" applyNumberFormat="0" applyAlignment="0" applyProtection="0">
      <alignment horizontal="left" vertical="center"/>
    </xf>
    <xf numFmtId="0" fontId="38" fillId="0" borderId="16">
      <alignment horizontal="left" vertical="center"/>
    </xf>
    <xf numFmtId="14" fontId="39" fillId="55" borderId="17">
      <alignment horizontal="center" vertical="center" wrapText="1"/>
    </xf>
    <xf numFmtId="201" fontId="17" fillId="0" borderId="0">
      <protection locked="0"/>
    </xf>
    <xf numFmtId="201" fontId="17" fillId="0" borderId="0">
      <protection locked="0"/>
    </xf>
    <xf numFmtId="0" fontId="40" fillId="0" borderId="17">
      <alignment horizontal="center"/>
    </xf>
    <xf numFmtId="0" fontId="40" fillId="0" borderId="0">
      <alignment horizontal="center"/>
    </xf>
    <xf numFmtId="10" fontId="35" fillId="56" borderId="10" applyNumberFormat="0" applyBorder="0" applyAlignment="0" applyProtection="0"/>
    <xf numFmtId="0" fontId="9" fillId="0" borderId="0" applyNumberFormat="0" applyFont="0" applyFill="0" applyBorder="0" applyProtection="0">
      <alignment horizontal="left" vertical="center"/>
    </xf>
    <xf numFmtId="192" fontId="17" fillId="0" borderId="0" applyFill="0" applyBorder="0" applyAlignment="0"/>
    <xf numFmtId="188" fontId="17" fillId="0" borderId="0" applyFill="0" applyBorder="0" applyAlignment="0"/>
    <xf numFmtId="192" fontId="17" fillId="0" borderId="0" applyFill="0" applyBorder="0" applyAlignment="0"/>
    <xf numFmtId="193" fontId="17" fillId="0" borderId="0" applyFill="0" applyBorder="0" applyAlignment="0"/>
    <xf numFmtId="188" fontId="17" fillId="0" borderId="0" applyFill="0" applyBorder="0" applyAlignment="0"/>
    <xf numFmtId="17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0" fontId="42" fillId="0" borderId="17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37" fontId="43" fillId="0" borderId="0"/>
    <xf numFmtId="205" fontId="44" fillId="0" borderId="0"/>
    <xf numFmtId="0" fontId="45" fillId="0" borderId="0" applyNumberFormat="0" applyBorder="0" applyAlignment="0"/>
    <xf numFmtId="0" fontId="3" fillId="0" borderId="0">
      <alignment vertical="center"/>
    </xf>
    <xf numFmtId="0" fontId="46" fillId="0" borderId="0"/>
    <xf numFmtId="40" fontId="10" fillId="59" borderId="0">
      <alignment horizontal="right"/>
    </xf>
    <xf numFmtId="0" fontId="47" fillId="59" borderId="24"/>
    <xf numFmtId="14" fontId="25" fillId="0" borderId="0">
      <alignment horizontal="center" wrapText="1"/>
      <protection locked="0"/>
    </xf>
    <xf numFmtId="9" fontId="3" fillId="0" borderId="0" applyFont="0" applyFill="0" applyBorder="0" applyAlignment="0" applyProtection="0">
      <alignment vertical="center"/>
    </xf>
    <xf numFmtId="206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207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35" fillId="54" borderId="10"/>
    <xf numFmtId="192" fontId="17" fillId="0" borderId="0" applyFill="0" applyBorder="0" applyAlignment="0"/>
    <xf numFmtId="188" fontId="17" fillId="0" borderId="0" applyFill="0" applyBorder="0" applyAlignment="0"/>
    <xf numFmtId="192" fontId="17" fillId="0" borderId="0" applyFill="0" applyBorder="0" applyAlignment="0"/>
    <xf numFmtId="193" fontId="17" fillId="0" borderId="0" applyFill="0" applyBorder="0" applyAlignment="0"/>
    <xf numFmtId="188" fontId="17" fillId="0" borderId="0" applyFill="0" applyBorder="0" applyAlignment="0"/>
    <xf numFmtId="4" fontId="34" fillId="0" borderId="0">
      <alignment horizontal="right"/>
    </xf>
    <xf numFmtId="208" fontId="8" fillId="0" borderId="0" applyFont="0" applyFill="0" applyBorder="0" applyAlignment="0" applyProtection="0"/>
    <xf numFmtId="0" fontId="48" fillId="0" borderId="0" applyNumberFormat="0" applyFont="0" applyFill="0" applyBorder="0" applyAlignment="0" applyProtection="0">
      <alignment horizontal="left"/>
    </xf>
    <xf numFmtId="0" fontId="49" fillId="0" borderId="17">
      <alignment horizontal="center"/>
    </xf>
    <xf numFmtId="0" fontId="50" fillId="60" borderId="0" applyNumberFormat="0" applyFont="0" applyBorder="0" applyAlignment="0">
      <alignment horizontal="center"/>
    </xf>
    <xf numFmtId="4" fontId="51" fillId="0" borderId="0">
      <alignment horizontal="right"/>
    </xf>
    <xf numFmtId="14" fontId="52" fillId="0" borderId="0" applyNumberFormat="0" applyFill="0" applyBorder="0" applyAlignment="0" applyProtection="0">
      <alignment horizontal="left"/>
    </xf>
    <xf numFmtId="0" fontId="53" fillId="0" borderId="0">
      <alignment horizontal="left"/>
    </xf>
    <xf numFmtId="0" fontId="50" fillId="1" borderId="16" applyNumberFormat="0" applyFont="0" applyAlignment="0">
      <alignment horizontal="center"/>
    </xf>
    <xf numFmtId="174" fontId="35" fillId="0" borderId="25"/>
    <xf numFmtId="0" fontId="54" fillId="0" borderId="0" applyNumberFormat="0" applyFill="0" applyBorder="0" applyAlignment="0">
      <alignment horizontal="center"/>
    </xf>
    <xf numFmtId="0" fontId="55" fillId="0" borderId="10">
      <alignment horizontal="center"/>
    </xf>
    <xf numFmtId="0" fontId="8" fillId="0" borderId="0"/>
    <xf numFmtId="0" fontId="17" fillId="0" borderId="0"/>
    <xf numFmtId="0" fontId="17" fillId="0" borderId="0"/>
    <xf numFmtId="0" fontId="55" fillId="0" borderId="0">
      <alignment horizontal="center" vertical="center"/>
    </xf>
    <xf numFmtId="0" fontId="56" fillId="61" borderId="0" applyNumberFormat="0" applyFill="0">
      <alignment horizontal="left" vertical="center"/>
    </xf>
    <xf numFmtId="0" fontId="42" fillId="0" borderId="0"/>
    <xf numFmtId="40" fontId="57" fillId="0" borderId="0" applyBorder="0">
      <alignment horizontal="right"/>
    </xf>
    <xf numFmtId="0" fontId="17" fillId="0" borderId="0"/>
    <xf numFmtId="49" fontId="16" fillId="0" borderId="0" applyFill="0" applyBorder="0" applyAlignment="0"/>
    <xf numFmtId="209" fontId="16" fillId="0" borderId="0" applyFill="0" applyBorder="0" applyAlignment="0"/>
    <xf numFmtId="210" fontId="17" fillId="0" borderId="0" applyFill="0" applyBorder="0" applyAlignment="0"/>
    <xf numFmtId="0" fontId="58" fillId="0" borderId="0" applyFill="0" applyBorder="0" applyProtection="0">
      <alignment horizontal="left" vertical="top"/>
    </xf>
    <xf numFmtId="0" fontId="59" fillId="0" borderId="0"/>
    <xf numFmtId="42" fontId="17" fillId="0" borderId="0" applyFont="0" applyFill="0" applyBorder="0" applyAlignment="0" applyProtection="0"/>
    <xf numFmtId="211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0" fontId="18" fillId="0" borderId="0" applyNumberFormat="0" applyFont="0" applyFill="0" applyBorder="0" applyProtection="0">
      <alignment horizontal="center" vertical="center" wrapText="1"/>
    </xf>
    <xf numFmtId="9" fontId="60" fillId="0" borderId="0" applyFont="0" applyFill="0" applyBorder="0" applyAlignment="0" applyProtection="0"/>
    <xf numFmtId="0" fontId="17" fillId="0" borderId="0"/>
    <xf numFmtId="17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45" fillId="0" borderId="0"/>
    <xf numFmtId="0" fontId="45" fillId="0" borderId="0"/>
    <xf numFmtId="0" fontId="17" fillId="0" borderId="0"/>
    <xf numFmtId="174" fontId="45" fillId="0" borderId="0" applyFont="0" applyFill="0" applyBorder="0" applyAlignment="0" applyProtection="0"/>
    <xf numFmtId="174" fontId="45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63" fillId="0" borderId="0"/>
    <xf numFmtId="0" fontId="69" fillId="3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1" fillId="0" borderId="0"/>
    <xf numFmtId="0" fontId="45" fillId="58" borderId="22" applyNumberFormat="0" applyFont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4" fontId="18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71" fillId="57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/>
    <xf numFmtId="213" fontId="18" fillId="0" borderId="0" applyFont="0" applyFill="0" applyBorder="0" applyAlignment="0" applyProtection="0"/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4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6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center"/>
    </xf>
    <xf numFmtId="173" fontId="61" fillId="0" borderId="0" applyFont="0" applyFill="0" applyBorder="0" applyAlignment="0" applyProtection="0"/>
    <xf numFmtId="174" fontId="61" fillId="0" borderId="0" applyFont="0" applyFill="0" applyBorder="0" applyAlignment="0" applyProtection="0"/>
    <xf numFmtId="214" fontId="61" fillId="0" borderId="0" applyFont="0" applyFill="0" applyBorder="0" applyAlignment="0" applyProtection="0"/>
    <xf numFmtId="215" fontId="61" fillId="0" borderId="0" applyFont="0" applyFill="0" applyBorder="0" applyAlignment="0" applyProtection="0"/>
    <xf numFmtId="0" fontId="62" fillId="0" borderId="0"/>
    <xf numFmtId="216" fontId="66" fillId="0" borderId="0" applyFont="0" applyFill="0" applyBorder="0" applyAlignment="0" applyProtection="0"/>
    <xf numFmtId="217" fontId="66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52" borderId="12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0" fontId="83" fillId="0" borderId="21" applyNumberFormat="0" applyFill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94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218" fontId="17" fillId="0" borderId="0">
      <alignment vertical="top"/>
    </xf>
    <xf numFmtId="43" fontId="1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" fillId="0" borderId="0" applyNumberFormat="0" applyFill="0" applyProtection="0">
      <alignment vertical="center"/>
    </xf>
    <xf numFmtId="0" fontId="95" fillId="0" borderId="0"/>
    <xf numFmtId="186" fontId="95" fillId="0" borderId="0" applyFont="0" applyFill="0" applyBorder="0" applyAlignment="0" applyProtection="0"/>
    <xf numFmtId="0" fontId="95" fillId="0" borderId="0" applyNumberFormat="0" applyFont="0" applyFill="0" applyBorder="0" applyAlignment="0">
      <alignment horizontal="center" vertical="center"/>
    </xf>
    <xf numFmtId="0" fontId="97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5" fillId="0" borderId="0" applyNumberFormat="0" applyFont="0"/>
    <xf numFmtId="0" fontId="27" fillId="0" borderId="37" applyNumberFormat="0" applyFill="0" applyProtection="0">
      <alignment horizont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8" fillId="0" borderId="38">
      <alignment horizontal="left" vertical="center"/>
    </xf>
    <xf numFmtId="14" fontId="39" fillId="55" borderId="35">
      <alignment horizontal="center" vertical="center" wrapText="1"/>
    </xf>
    <xf numFmtId="0" fontId="40" fillId="0" borderId="35">
      <alignment horizontal="center"/>
    </xf>
    <xf numFmtId="0" fontId="42" fillId="0" borderId="35"/>
    <xf numFmtId="0" fontId="96" fillId="0" borderId="0" applyNumberFormat="0" applyBorder="0" applyAlignment="0"/>
    <xf numFmtId="0" fontId="49" fillId="0" borderId="35">
      <alignment horizontal="center"/>
    </xf>
    <xf numFmtId="0" fontId="50" fillId="1" borderId="38" applyNumberFormat="0" applyFont="0" applyAlignment="0">
      <alignment horizontal="center"/>
    </xf>
    <xf numFmtId="171" fontId="17" fillId="0" borderId="0" applyFont="0" applyFill="0" applyBorder="0" applyAlignment="0" applyProtection="0"/>
    <xf numFmtId="0" fontId="96" fillId="0" borderId="0"/>
    <xf numFmtId="0" fontId="96" fillId="0" borderId="0"/>
    <xf numFmtId="174" fontId="96" fillId="0" borderId="0" applyFont="0" applyFill="0" applyBorder="0" applyAlignment="0" applyProtection="0"/>
    <xf numFmtId="174" fontId="96" fillId="0" borderId="0" applyFont="0" applyFill="0" applyBorder="0" applyAlignment="0" applyProtection="0"/>
    <xf numFmtId="0" fontId="99" fillId="35" borderId="0" applyNumberFormat="0" applyBorder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00" fillId="34" borderId="0" applyNumberFormat="0" applyBorder="0" applyAlignment="0" applyProtection="0">
      <alignment vertical="center"/>
    </xf>
    <xf numFmtId="0" fontId="101" fillId="57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52" borderId="12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13" fillId="0" borderId="21" applyNumberFormat="0" applyFill="0" applyAlignment="0" applyProtection="0">
      <alignment vertical="center"/>
    </xf>
    <xf numFmtId="0" fontId="17" fillId="0" borderId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97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27" fillId="0" borderId="13" applyNumberFormat="0" applyFill="0" applyProtection="0">
      <alignment horizontal="center"/>
    </xf>
    <xf numFmtId="0" fontId="35" fillId="53" borderId="10"/>
    <xf numFmtId="0" fontId="38" fillId="0" borderId="38">
      <alignment horizontal="left" vertical="center"/>
    </xf>
    <xf numFmtId="10" fontId="35" fillId="56" borderId="10" applyNumberFormat="0" applyBorder="0" applyAlignment="0" applyProtection="0"/>
    <xf numFmtId="0" fontId="96" fillId="0" borderId="0" applyNumberFormat="0" applyBorder="0" applyAlignment="0"/>
    <xf numFmtId="0" fontId="35" fillId="54" borderId="10"/>
    <xf numFmtId="0" fontId="50" fillId="1" borderId="38" applyNumberFormat="0" applyFont="0" applyAlignment="0">
      <alignment horizontal="center"/>
    </xf>
    <xf numFmtId="0" fontId="55" fillId="0" borderId="10">
      <alignment horizontal="center"/>
    </xf>
    <xf numFmtId="0" fontId="96" fillId="0" borderId="0"/>
    <xf numFmtId="0" fontId="96" fillId="0" borderId="0"/>
    <xf numFmtId="174" fontId="96" fillId="0" borderId="0" applyFont="0" applyFill="0" applyBorder="0" applyAlignment="0" applyProtection="0"/>
    <xf numFmtId="174" fontId="96" fillId="0" borderId="0" applyFont="0" applyFill="0" applyBorder="0" applyAlignment="0" applyProtection="0"/>
    <xf numFmtId="0" fontId="99" fillId="35" borderId="0" applyNumberFormat="0" applyBorder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00" fillId="34" borderId="0" applyNumberFormat="0" applyBorder="0" applyAlignment="0" applyProtection="0">
      <alignment vertical="center"/>
    </xf>
    <xf numFmtId="0" fontId="101" fillId="57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52" borderId="12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13" fillId="0" borderId="21" applyNumberFormat="0" applyFill="0" applyAlignment="0" applyProtection="0">
      <alignment vertical="center"/>
    </xf>
    <xf numFmtId="0" fontId="3" fillId="0" borderId="0">
      <alignment vertical="center"/>
    </xf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21" fontId="114" fillId="0" borderId="0">
      <alignment vertical="center"/>
    </xf>
    <xf numFmtId="221" fontId="17" fillId="0" borderId="0"/>
    <xf numFmtId="221" fontId="87" fillId="0" borderId="0">
      <alignment vertical="center"/>
    </xf>
    <xf numFmtId="171" fontId="8" fillId="0" borderId="0" applyNumberFormat="0" applyFill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0" fontId="45" fillId="0" borderId="0" applyNumberFormat="0" applyBorder="0" applyAlignment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45" fillId="0" borderId="0"/>
    <xf numFmtId="0" fontId="45" fillId="0" borderId="0"/>
    <xf numFmtId="174" fontId="45" fillId="0" borderId="0" applyFont="0" applyFill="0" applyBorder="0" applyAlignment="0" applyProtection="0"/>
    <xf numFmtId="174" fontId="45" fillId="0" borderId="0" applyFont="0" applyFill="0" applyBorder="0" applyAlignment="0" applyProtection="0"/>
    <xf numFmtId="0" fontId="69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45" fillId="58" borderId="22" applyNumberFormat="0" applyFont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52" borderId="12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0" fontId="122" fillId="0" borderId="0">
      <alignment vertical="center"/>
    </xf>
    <xf numFmtId="0" fontId="83" fillId="0" borderId="21" applyNumberFormat="0" applyFill="0" applyAlignment="0" applyProtection="0">
      <alignment vertical="center"/>
    </xf>
    <xf numFmtId="0" fontId="17" fillId="0" borderId="0"/>
    <xf numFmtId="171" fontId="116" fillId="0" borderId="0" applyFont="0" applyFill="0" applyBorder="0" applyAlignment="0" applyProtection="0">
      <alignment vertical="center"/>
    </xf>
    <xf numFmtId="222" fontId="11" fillId="0" borderId="0">
      <alignment vertical="center"/>
    </xf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22" fontId="117" fillId="0" borderId="0"/>
    <xf numFmtId="222" fontId="70" fillId="62" borderId="0" applyProtection="0">
      <alignment vertical="center"/>
    </xf>
    <xf numFmtId="9" fontId="17" fillId="0" borderId="0" applyFont="0" applyFill="0" applyBorder="0" applyAlignment="0" applyProtection="0"/>
    <xf numFmtId="174" fontId="11" fillId="0" borderId="0" applyProtection="0">
      <alignment vertical="center"/>
    </xf>
    <xf numFmtId="0" fontId="118" fillId="0" borderId="0">
      <alignment vertical="center"/>
    </xf>
    <xf numFmtId="174" fontId="118" fillId="0" borderId="0" applyFont="0" applyFill="0" applyBorder="0" applyAlignment="0" applyProtection="0">
      <alignment vertical="center"/>
    </xf>
    <xf numFmtId="222" fontId="119" fillId="0" borderId="0"/>
    <xf numFmtId="222" fontId="120" fillId="0" borderId="0" applyNumberFormat="0" applyFill="0" applyBorder="0" applyAlignment="0" applyProtection="0">
      <alignment vertical="top"/>
      <protection locked="0"/>
    </xf>
    <xf numFmtId="174" fontId="121" fillId="0" borderId="0" applyFont="0" applyFill="0" applyBorder="0" applyAlignment="0" applyProtection="0"/>
    <xf numFmtId="9" fontId="11" fillId="0" borderId="0" applyProtection="0">
      <alignment vertical="center"/>
    </xf>
    <xf numFmtId="0" fontId="119" fillId="0" borderId="0"/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8" fillId="0" borderId="0">
      <alignment vertical="center"/>
    </xf>
    <xf numFmtId="174" fontId="118" fillId="0" borderId="0" applyFont="0" applyFill="0" applyBorder="0" applyAlignment="0" applyProtection="0">
      <alignment vertical="center"/>
    </xf>
    <xf numFmtId="174" fontId="8" fillId="0" borderId="0" applyNumberFormat="0" applyFill="0" applyProtection="0">
      <alignment vertical="center"/>
    </xf>
    <xf numFmtId="174" fontId="3" fillId="0" borderId="0" applyFont="0" applyFill="0" applyBorder="0" applyAlignment="0" applyProtection="0">
      <alignment vertical="center"/>
    </xf>
    <xf numFmtId="174" fontId="3" fillId="0" borderId="0" applyFont="0" applyFill="0" applyBorder="0" applyAlignment="0" applyProtection="0">
      <alignment vertical="center"/>
    </xf>
    <xf numFmtId="174" fontId="3" fillId="0" borderId="0" applyFont="0" applyFill="0" applyBorder="0" applyAlignment="0" applyProtection="0"/>
    <xf numFmtId="174" fontId="35" fillId="0" borderId="25"/>
    <xf numFmtId="174" fontId="45" fillId="0" borderId="0" applyFont="0" applyFill="0" applyBorder="0" applyAlignment="0" applyProtection="0"/>
    <xf numFmtId="174" fontId="45" fillId="0" borderId="0" applyFont="0" applyFill="0" applyBorder="0" applyAlignment="0" applyProtection="0"/>
    <xf numFmtId="174" fontId="116" fillId="0" borderId="0" applyFont="0" applyFill="0" applyBorder="0" applyAlignment="0" applyProtection="0">
      <alignment vertical="center"/>
    </xf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4" fontId="11" fillId="0" borderId="0" applyProtection="0">
      <alignment vertical="center"/>
    </xf>
    <xf numFmtId="174" fontId="118" fillId="0" borderId="0" applyFont="0" applyFill="0" applyBorder="0" applyAlignment="0" applyProtection="0">
      <alignment vertical="center"/>
    </xf>
    <xf numFmtId="174" fontId="121" fillId="0" borderId="0" applyFont="0" applyFill="0" applyBorder="0" applyAlignment="0" applyProtection="0"/>
    <xf numFmtId="174" fontId="116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174" fontId="35" fillId="0" borderId="25"/>
    <xf numFmtId="174" fontId="45" fillId="0" borderId="0" applyFont="0" applyFill="0" applyBorder="0" applyAlignment="0" applyProtection="0"/>
    <xf numFmtId="174" fontId="45" fillId="0" borderId="0" applyFont="0" applyFill="0" applyBorder="0" applyAlignment="0" applyProtection="0"/>
    <xf numFmtId="17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4" fontId="11" fillId="0" borderId="0" applyProtection="0">
      <alignment vertical="center"/>
    </xf>
    <xf numFmtId="174" fontId="118" fillId="0" borderId="0" applyFont="0" applyFill="0" applyBorder="0" applyAlignment="0" applyProtection="0">
      <alignment vertical="center"/>
    </xf>
    <xf numFmtId="174" fontId="121" fillId="0" borderId="0" applyFont="0" applyFill="0" applyBorder="0" applyAlignment="0" applyProtection="0"/>
    <xf numFmtId="174" fontId="35" fillId="0" borderId="25"/>
    <xf numFmtId="174" fontId="45" fillId="0" borderId="0" applyFont="0" applyFill="0" applyBorder="0" applyAlignment="0" applyProtection="0"/>
    <xf numFmtId="174" fontId="45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4" fontId="11" fillId="0" borderId="0" applyProtection="0">
      <alignment vertical="center"/>
    </xf>
    <xf numFmtId="174" fontId="118" fillId="0" borderId="0" applyFont="0" applyFill="0" applyBorder="0" applyAlignment="0" applyProtection="0">
      <alignment vertical="center"/>
    </xf>
    <xf numFmtId="174" fontId="12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>
      <alignment vertical="center"/>
    </xf>
    <xf numFmtId="222" fontId="120" fillId="0" borderId="0" applyNumberFormat="0" applyFill="0" applyBorder="0" applyAlignment="0" applyProtection="0">
      <alignment vertical="top"/>
      <protection locked="0"/>
    </xf>
    <xf numFmtId="174" fontId="121" fillId="0" borderId="0" applyFont="0" applyFill="0" applyBorder="0" applyAlignment="0" applyProtection="0"/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49" fillId="0" borderId="35">
      <alignment horizontal="center"/>
    </xf>
    <xf numFmtId="0" fontId="35" fillId="54" borderId="10"/>
    <xf numFmtId="0" fontId="42" fillId="0" borderId="35"/>
    <xf numFmtId="10" fontId="35" fillId="56" borderId="10" applyNumberFormat="0" applyBorder="0" applyAlignment="0" applyProtection="0"/>
    <xf numFmtId="0" fontId="40" fillId="0" borderId="35">
      <alignment horizontal="center"/>
    </xf>
    <xf numFmtId="14" fontId="39" fillId="55" borderId="35">
      <alignment horizontal="center" vertical="center" wrapText="1"/>
    </xf>
    <xf numFmtId="0" fontId="35" fillId="53" borderId="10"/>
    <xf numFmtId="0" fontId="55" fillId="0" borderId="10">
      <alignment horizontal="center"/>
    </xf>
    <xf numFmtId="173" fontId="95" fillId="0" borderId="0" applyFont="0" applyFill="0" applyBorder="0" applyAlignment="0" applyProtection="0"/>
    <xf numFmtId="174" fontId="95" fillId="0" borderId="0" applyFont="0" applyFill="0" applyBorder="0" applyAlignment="0" applyProtection="0"/>
    <xf numFmtId="0" fontId="96" fillId="58" borderId="22" applyNumberFormat="0" applyFont="0" applyAlignment="0" applyProtection="0">
      <alignment vertical="center"/>
    </xf>
    <xf numFmtId="0" fontId="95" fillId="0" borderId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2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1" fillId="0" borderId="0"/>
    <xf numFmtId="0" fontId="1" fillId="0" borderId="0"/>
    <xf numFmtId="0" fontId="115" fillId="0" borderId="0">
      <alignment vertical="center"/>
    </xf>
    <xf numFmtId="171" fontId="1" fillId="0" borderId="0" applyFont="0" applyFill="0" applyBorder="0" applyAlignment="0" applyProtection="0">
      <alignment vertical="center"/>
    </xf>
    <xf numFmtId="0" fontId="115" fillId="0" borderId="0">
      <alignment vertical="center"/>
    </xf>
    <xf numFmtId="171" fontId="115" fillId="0" borderId="0" applyFont="0" applyFill="0" applyBorder="0" applyAlignment="0" applyProtection="0">
      <alignment vertical="center"/>
    </xf>
    <xf numFmtId="0" fontId="17" fillId="0" borderId="0"/>
    <xf numFmtId="0" fontId="123" fillId="0" borderId="0"/>
    <xf numFmtId="0" fontId="123" fillId="0" borderId="0"/>
    <xf numFmtId="0" fontId="124" fillId="0" borderId="0">
      <alignment vertical="center"/>
    </xf>
    <xf numFmtId="170" fontId="3" fillId="0" borderId="0" applyFont="0" applyFill="0" applyBorder="0" applyAlignment="0" applyProtection="0">
      <alignment vertical="center"/>
    </xf>
    <xf numFmtId="0" fontId="124" fillId="0" borderId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7" fillId="0" borderId="0"/>
    <xf numFmtId="0" fontId="3" fillId="0" borderId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5" fillId="53" borderId="10"/>
    <xf numFmtId="0" fontId="38" fillId="0" borderId="38">
      <alignment horizontal="left" vertical="center"/>
    </xf>
    <xf numFmtId="14" fontId="39" fillId="55" borderId="35">
      <alignment horizontal="center" vertical="center" wrapText="1"/>
    </xf>
    <xf numFmtId="0" fontId="40" fillId="0" borderId="35">
      <alignment horizontal="center"/>
    </xf>
    <xf numFmtId="10" fontId="35" fillId="56" borderId="10" applyNumberFormat="0" applyBorder="0" applyAlignment="0" applyProtection="0"/>
    <xf numFmtId="0" fontId="42" fillId="0" borderId="35"/>
    <xf numFmtId="0" fontId="35" fillId="54" borderId="10"/>
    <xf numFmtId="0" fontId="49" fillId="0" borderId="35">
      <alignment horizontal="center"/>
    </xf>
    <xf numFmtId="0" fontId="50" fillId="1" borderId="38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107" fillId="0" borderId="20" applyNumberFormat="0" applyFill="0" applyAlignment="0" applyProtection="0">
      <alignment vertic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97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27" fillId="0" borderId="37" applyNumberFormat="0" applyFill="0" applyProtection="0">
      <alignment horizontal="center"/>
    </xf>
    <xf numFmtId="0" fontId="35" fillId="53" borderId="10"/>
    <xf numFmtId="0" fontId="38" fillId="0" borderId="38">
      <alignment horizontal="left" vertical="center"/>
    </xf>
    <xf numFmtId="10" fontId="35" fillId="56" borderId="10" applyNumberFormat="0" applyBorder="0" applyAlignment="0" applyProtection="0"/>
    <xf numFmtId="0" fontId="96" fillId="0" borderId="0" applyNumberFormat="0" applyBorder="0" applyAlignment="0"/>
    <xf numFmtId="0" fontId="35" fillId="54" borderId="10"/>
    <xf numFmtId="0" fontId="50" fillId="1" borderId="38" applyNumberFormat="0" applyFont="0" applyAlignment="0">
      <alignment horizontal="center"/>
    </xf>
    <xf numFmtId="0" fontId="55" fillId="0" borderId="10">
      <alignment horizontal="center"/>
    </xf>
    <xf numFmtId="0" fontId="96" fillId="0" borderId="0"/>
    <xf numFmtId="0" fontId="96" fillId="0" borderId="0"/>
    <xf numFmtId="174" fontId="96" fillId="0" borderId="0" applyFont="0" applyFill="0" applyBorder="0" applyAlignment="0" applyProtection="0"/>
    <xf numFmtId="174" fontId="96" fillId="0" borderId="0" applyFont="0" applyFill="0" applyBorder="0" applyAlignment="0" applyProtection="0"/>
    <xf numFmtId="0" fontId="99" fillId="35" borderId="0" applyNumberFormat="0" applyBorder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00" fillId="34" borderId="0" applyNumberFormat="0" applyBorder="0" applyAlignment="0" applyProtection="0">
      <alignment vertical="center"/>
    </xf>
    <xf numFmtId="0" fontId="101" fillId="57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18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52" borderId="12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13" fillId="0" borderId="21" applyNumberFormat="0" applyFill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49" fillId="0" borderId="35">
      <alignment horizontal="center"/>
    </xf>
    <xf numFmtId="0" fontId="35" fillId="54" borderId="10"/>
    <xf numFmtId="0" fontId="42" fillId="0" borderId="35"/>
    <xf numFmtId="10" fontId="35" fillId="56" borderId="10" applyNumberFormat="0" applyBorder="0" applyAlignment="0" applyProtection="0"/>
    <xf numFmtId="0" fontId="40" fillId="0" borderId="35">
      <alignment horizontal="center"/>
    </xf>
    <xf numFmtId="14" fontId="39" fillId="55" borderId="35">
      <alignment horizontal="center" vertical="center" wrapText="1"/>
    </xf>
    <xf numFmtId="0" fontId="35" fillId="53" borderId="10"/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10" fillId="51" borderId="11" applyNumberFormat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2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9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171" fontId="17" fillId="0" borderId="10" applyNumberFormat="0"/>
    <xf numFmtId="170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>
      <alignment vertical="center"/>
    </xf>
    <xf numFmtId="174" fontId="2" fillId="0" borderId="0" applyFont="0" applyFill="0" applyBorder="0" applyAlignment="0" applyProtection="0">
      <alignment vertical="center"/>
    </xf>
    <xf numFmtId="0" fontId="1" fillId="0" borderId="0"/>
    <xf numFmtId="9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" fillId="0" borderId="0">
      <alignment vertical="center"/>
    </xf>
    <xf numFmtId="17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/>
    <xf numFmtId="223" fontId="3" fillId="0" borderId="0" applyFill="0" applyBorder="0" applyAlignment="0" applyProtection="0"/>
    <xf numFmtId="0" fontId="11" fillId="0" borderId="0"/>
    <xf numFmtId="0" fontId="3" fillId="0" borderId="0"/>
    <xf numFmtId="171" fontId="6" fillId="0" borderId="0" applyFont="0" applyFill="0" applyBorder="0" applyAlignment="0" applyProtection="0"/>
    <xf numFmtId="174" fontId="11" fillId="0" borderId="0" applyFont="0" applyFill="0" applyBorder="0" applyAlignment="0" applyProtection="0">
      <alignment vertical="center"/>
    </xf>
    <xf numFmtId="0" fontId="3" fillId="0" borderId="0"/>
    <xf numFmtId="174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4" fontId="39" fillId="55" borderId="35">
      <alignment horizontal="center" vertical="center" wrapText="1"/>
    </xf>
    <xf numFmtId="0" fontId="40" fillId="0" borderId="35">
      <alignment horizontal="center"/>
    </xf>
    <xf numFmtId="10" fontId="35" fillId="56" borderId="10" applyNumberFormat="0" applyBorder="0" applyAlignment="0" applyProtection="0"/>
    <xf numFmtId="0" fontId="42" fillId="0" borderId="35"/>
    <xf numFmtId="0" fontId="55" fillId="0" borderId="10">
      <alignment horizontal="center"/>
    </xf>
    <xf numFmtId="0" fontId="35" fillId="54" borderId="10"/>
    <xf numFmtId="0" fontId="49" fillId="0" borderId="35">
      <alignment horizont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174" fontId="2" fillId="0" borderId="0" applyFont="0" applyFill="0" applyBorder="0" applyAlignment="0" applyProtection="0">
      <alignment vertical="center"/>
    </xf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174" fontId="4" fillId="0" borderId="0" applyFont="0" applyFill="0" applyBorder="0" applyAlignment="0" applyProtection="0">
      <alignment vertical="center"/>
    </xf>
    <xf numFmtId="0" fontId="115" fillId="0" borderId="0"/>
    <xf numFmtId="0" fontId="115" fillId="0" borderId="0"/>
    <xf numFmtId="0" fontId="115" fillId="0" borderId="0"/>
    <xf numFmtId="0" fontId="115" fillId="0" borderId="0"/>
    <xf numFmtId="174" fontId="125" fillId="0" borderId="0" applyFont="0" applyFill="0" applyBorder="0" applyAlignment="0" applyProtection="0"/>
    <xf numFmtId="0" fontId="115" fillId="0" borderId="0"/>
    <xf numFmtId="0" fontId="126" fillId="0" borderId="0"/>
    <xf numFmtId="173" fontId="8" fillId="0" borderId="0" applyFont="0" applyFill="0" applyBorder="0" applyAlignment="0" applyProtection="0"/>
    <xf numFmtId="0" fontId="131" fillId="0" borderId="0">
      <protection locked="0"/>
    </xf>
    <xf numFmtId="173" fontId="132" fillId="0" borderId="0"/>
    <xf numFmtId="171" fontId="17" fillId="0" borderId="0" applyFon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224" fontId="134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" fontId="48" fillId="0" borderId="0"/>
    <xf numFmtId="0" fontId="3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1" fontId="48" fillId="0" borderId="0"/>
    <xf numFmtId="225" fontId="17" fillId="0" borderId="0">
      <alignment vertical="center"/>
    </xf>
    <xf numFmtId="0" fontId="126" fillId="10" borderId="0" applyNumberFormat="0" applyBorder="0" applyAlignment="0" applyProtection="0"/>
    <xf numFmtId="0" fontId="126" fillId="14" borderId="0" applyNumberFormat="0" applyBorder="0" applyAlignment="0" applyProtection="0"/>
    <xf numFmtId="0" fontId="126" fillId="18" borderId="0" applyNumberFormat="0" applyBorder="0" applyAlignment="0" applyProtection="0"/>
    <xf numFmtId="0" fontId="126" fillId="22" borderId="0" applyNumberFormat="0" applyBorder="0" applyAlignment="0" applyProtection="0"/>
    <xf numFmtId="0" fontId="126" fillId="26" borderId="0" applyNumberFormat="0" applyBorder="0" applyAlignment="0" applyProtection="0"/>
    <xf numFmtId="0" fontId="126" fillId="30" borderId="0" applyNumberFormat="0" applyBorder="0" applyAlignment="0" applyProtection="0"/>
    <xf numFmtId="0" fontId="136" fillId="33" borderId="0" applyNumberFormat="0" applyBorder="0" applyAlignment="0" applyProtection="0">
      <alignment vertical="center"/>
    </xf>
    <xf numFmtId="0" fontId="136" fillId="34" borderId="0" applyNumberFormat="0" applyBorder="0" applyAlignment="0" applyProtection="0">
      <alignment vertical="center"/>
    </xf>
    <xf numFmtId="0" fontId="136" fillId="35" borderId="0" applyNumberFormat="0" applyBorder="0" applyAlignment="0" applyProtection="0">
      <alignment vertical="center"/>
    </xf>
    <xf numFmtId="0" fontId="136" fillId="36" borderId="0" applyNumberFormat="0" applyBorder="0" applyAlignment="0" applyProtection="0">
      <alignment vertical="center"/>
    </xf>
    <xf numFmtId="0" fontId="136" fillId="37" borderId="0" applyNumberFormat="0" applyBorder="0" applyAlignment="0" applyProtection="0">
      <alignment vertical="center"/>
    </xf>
    <xf numFmtId="0" fontId="136" fillId="38" borderId="0" applyNumberFormat="0" applyBorder="0" applyAlignment="0" applyProtection="0">
      <alignment vertical="center"/>
    </xf>
    <xf numFmtId="0" fontId="131" fillId="0" borderId="0">
      <protection locked="0"/>
    </xf>
    <xf numFmtId="199" fontId="63" fillId="0" borderId="0"/>
    <xf numFmtId="0" fontId="137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0" fontId="138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8" fillId="0" borderId="0"/>
    <xf numFmtId="0" fontId="126" fillId="11" borderId="0" applyNumberFormat="0" applyBorder="0" applyAlignment="0" applyProtection="0"/>
    <xf numFmtId="0" fontId="126" fillId="15" borderId="0" applyNumberFormat="0" applyBorder="0" applyAlignment="0" applyProtection="0"/>
    <xf numFmtId="0" fontId="126" fillId="19" borderId="0" applyNumberFormat="0" applyBorder="0" applyAlignment="0" applyProtection="0"/>
    <xf numFmtId="0" fontId="126" fillId="23" borderId="0" applyNumberFormat="0" applyBorder="0" applyAlignment="0" applyProtection="0"/>
    <xf numFmtId="0" fontId="126" fillId="27" borderId="0" applyNumberFormat="0" applyBorder="0" applyAlignment="0" applyProtection="0"/>
    <xf numFmtId="0" fontId="126" fillId="31" borderId="0" applyNumberFormat="0" applyBorder="0" applyAlignment="0" applyProtection="0"/>
    <xf numFmtId="0" fontId="136" fillId="39" borderId="0" applyNumberFormat="0" applyBorder="0" applyAlignment="0" applyProtection="0">
      <alignment vertical="center"/>
    </xf>
    <xf numFmtId="0" fontId="136" fillId="40" borderId="0" applyNumberFormat="0" applyBorder="0" applyAlignment="0" applyProtection="0">
      <alignment vertical="center"/>
    </xf>
    <xf numFmtId="0" fontId="136" fillId="41" borderId="0" applyNumberFormat="0" applyBorder="0" applyAlignment="0" applyProtection="0">
      <alignment vertical="center"/>
    </xf>
    <xf numFmtId="0" fontId="136" fillId="36" borderId="0" applyNumberFormat="0" applyBorder="0" applyAlignment="0" applyProtection="0">
      <alignment vertical="center"/>
    </xf>
    <xf numFmtId="0" fontId="136" fillId="39" borderId="0" applyNumberFormat="0" applyBorder="0" applyAlignment="0" applyProtection="0">
      <alignment vertical="center"/>
    </xf>
    <xf numFmtId="0" fontId="136" fillId="42" borderId="0" applyNumberFormat="0" applyBorder="0" applyAlignment="0" applyProtection="0">
      <alignment vertical="center"/>
    </xf>
    <xf numFmtId="0" fontId="189" fillId="12" borderId="0" applyNumberFormat="0" applyBorder="0" applyAlignment="0" applyProtection="0"/>
    <xf numFmtId="0" fontId="189" fillId="16" borderId="0" applyNumberFormat="0" applyBorder="0" applyAlignment="0" applyProtection="0"/>
    <xf numFmtId="0" fontId="189" fillId="20" borderId="0" applyNumberFormat="0" applyBorder="0" applyAlignment="0" applyProtection="0"/>
    <xf numFmtId="0" fontId="189" fillId="24" borderId="0" applyNumberFormat="0" applyBorder="0" applyAlignment="0" applyProtection="0"/>
    <xf numFmtId="0" fontId="189" fillId="28" borderId="0" applyNumberFormat="0" applyBorder="0" applyAlignment="0" applyProtection="0"/>
    <xf numFmtId="0" fontId="189" fillId="32" borderId="0" applyNumberFormat="0" applyBorder="0" applyAlignment="0" applyProtection="0"/>
    <xf numFmtId="0" fontId="139" fillId="43" borderId="0" applyNumberFormat="0" applyBorder="0" applyAlignment="0" applyProtection="0">
      <alignment vertical="center"/>
    </xf>
    <xf numFmtId="0" fontId="139" fillId="40" borderId="0" applyNumberFormat="0" applyBorder="0" applyAlignment="0" applyProtection="0">
      <alignment vertical="center"/>
    </xf>
    <xf numFmtId="0" fontId="139" fillId="41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45" borderId="0" applyNumberFormat="0" applyBorder="0" applyAlignment="0" applyProtection="0">
      <alignment vertical="center"/>
    </xf>
    <xf numFmtId="0" fontId="139" fillId="46" borderId="0" applyNumberFormat="0" applyBorder="0" applyAlignment="0" applyProtection="0">
      <alignment vertical="center"/>
    </xf>
    <xf numFmtId="0" fontId="84" fillId="0" borderId="0">
      <alignment horizontal="left"/>
    </xf>
    <xf numFmtId="0" fontId="189" fillId="9" borderId="0" applyNumberFormat="0" applyBorder="0" applyAlignment="0" applyProtection="0"/>
    <xf numFmtId="0" fontId="189" fillId="13" borderId="0" applyNumberFormat="0" applyBorder="0" applyAlignment="0" applyProtection="0"/>
    <xf numFmtId="0" fontId="189" fillId="17" borderId="0" applyNumberFormat="0" applyBorder="0" applyAlignment="0" applyProtection="0"/>
    <xf numFmtId="0" fontId="189" fillId="21" borderId="0" applyNumberFormat="0" applyBorder="0" applyAlignment="0" applyProtection="0"/>
    <xf numFmtId="0" fontId="189" fillId="25" borderId="0" applyNumberFormat="0" applyBorder="0" applyAlignment="0" applyProtection="0"/>
    <xf numFmtId="0" fontId="189" fillId="29" borderId="0" applyNumberFormat="0" applyBorder="0" applyAlignment="0" applyProtection="0"/>
    <xf numFmtId="0" fontId="17" fillId="63" borderId="0" applyNumberFormat="0" applyProtection="0">
      <alignment horizontal="center"/>
      <protection locked="0" hidden="1"/>
    </xf>
    <xf numFmtId="9" fontId="140" fillId="0" borderId="0" applyFont="0" applyFill="0" applyBorder="0" applyAlignment="0" applyProtection="0"/>
    <xf numFmtId="216" fontId="134" fillId="0" borderId="0" applyFont="0" applyFill="0" applyBorder="0" applyAlignment="0" applyProtection="0"/>
    <xf numFmtId="217" fontId="134" fillId="0" borderId="0" applyFont="0" applyFill="0" applyBorder="0" applyAlignment="0" applyProtection="0"/>
    <xf numFmtId="0" fontId="134" fillId="0" borderId="0"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/>
    <xf numFmtId="225" fontId="17" fillId="0" borderId="0" applyFont="0" applyFill="0" applyBorder="0" applyAlignment="0" applyProtection="0"/>
    <xf numFmtId="226" fontId="17" fillId="0" borderId="0" applyFont="0" applyFill="0" applyBorder="0" applyAlignment="0" applyProtection="0"/>
    <xf numFmtId="4" fontId="131" fillId="0" borderId="0">
      <protection locked="0"/>
    </xf>
    <xf numFmtId="227" fontId="134" fillId="0" borderId="0">
      <protection locked="0"/>
    </xf>
    <xf numFmtId="0" fontId="190" fillId="3" borderId="0" applyNumberFormat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9" fillId="0" borderId="28" applyNumberFormat="0" applyFill="0">
      <alignment horizontal="left"/>
    </xf>
    <xf numFmtId="0" fontId="143" fillId="0" borderId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0" fontId="191" fillId="6" borderId="4" applyNumberFormat="0" applyAlignment="0" applyProtection="0"/>
    <xf numFmtId="0" fontId="192" fillId="7" borderId="7" applyNumberFormat="0" applyAlignment="0" applyProtection="0"/>
    <xf numFmtId="0" fontId="131" fillId="0" borderId="40">
      <protection locked="0"/>
    </xf>
    <xf numFmtId="174" fontId="125" fillId="0" borderId="0" applyFont="0" applyFill="0" applyBorder="0" applyAlignment="0" applyProtection="0"/>
    <xf numFmtId="174" fontId="87" fillId="0" borderId="0" applyFont="0" applyFill="0" applyBorder="0" applyAlignment="0" applyProtection="0">
      <alignment vertical="center"/>
    </xf>
    <xf numFmtId="174" fontId="87" fillId="0" borderId="0" applyFont="0" applyFill="0" applyBorder="0" applyAlignment="0" applyProtection="0">
      <alignment vertical="center"/>
    </xf>
    <xf numFmtId="174" fontId="6" fillId="0" borderId="0" applyFont="0" applyFill="0" applyBorder="0" applyAlignment="0" applyProtection="0"/>
    <xf numFmtId="3" fontId="144" fillId="0" borderId="0" applyFont="0" applyFill="0" applyBorder="0" applyAlignment="0" applyProtection="0"/>
    <xf numFmtId="196" fontId="88" fillId="0" borderId="10" applyBorder="0"/>
    <xf numFmtId="169" fontId="87" fillId="0" borderId="0" applyFont="0" applyFill="0" applyBorder="0" applyAlignment="0" applyProtection="0">
      <alignment vertical="center"/>
    </xf>
    <xf numFmtId="173" fontId="63" fillId="0" borderId="0" applyFont="0" applyFill="0" applyBorder="0" applyAlignment="0" applyProtection="0"/>
    <xf numFmtId="196" fontId="145" fillId="0" borderId="10" applyBorder="0">
      <protection locked="0"/>
    </xf>
    <xf numFmtId="228" fontId="8" fillId="0" borderId="0">
      <protection locked="0"/>
    </xf>
    <xf numFmtId="14" fontId="35" fillId="0" borderId="0" applyFill="0" applyBorder="0">
      <alignment horizontal="left"/>
    </xf>
    <xf numFmtId="38" fontId="48" fillId="0" borderId="0" applyFont="0" applyFill="0" applyBorder="0" applyAlignment="0" applyProtection="0"/>
    <xf numFmtId="40" fontId="48" fillId="0" borderId="0" applyFont="0" applyFill="0" applyBorder="0" applyAlignment="0" applyProtection="0"/>
    <xf numFmtId="196" fontId="86" fillId="0" borderId="10"/>
    <xf numFmtId="0" fontId="146" fillId="0" borderId="0" applyNumberFormat="0" applyFill="0" applyBorder="0" applyAlignment="0" applyProtection="0"/>
    <xf numFmtId="0" fontId="134" fillId="0" borderId="0">
      <protection locked="0"/>
    </xf>
    <xf numFmtId="229" fontId="134" fillId="0" borderId="0">
      <protection locked="0"/>
    </xf>
    <xf numFmtId="0" fontId="193" fillId="0" borderId="0" applyNumberFormat="0" applyFill="0" applyBorder="0" applyAlignment="0" applyProtection="0"/>
    <xf numFmtId="230" fontId="9" fillId="0" borderId="0" applyFill="0" applyBorder="0">
      <alignment horizontal="right" vertical="top"/>
    </xf>
    <xf numFmtId="0" fontId="9" fillId="0" borderId="0" applyFill="0" applyBorder="0">
      <alignment horizontal="left" vertical="top"/>
    </xf>
    <xf numFmtId="231" fontId="17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22" fontId="147" fillId="0" borderId="0" applyFont="0" applyFill="0" applyBorder="0" applyAlignment="0" applyProtection="0"/>
    <xf numFmtId="14" fontId="148" fillId="0" borderId="0" applyFont="0" applyFill="0" applyBorder="0" applyAlignment="0" applyProtection="0"/>
    <xf numFmtId="17" fontId="148" fillId="0" borderId="0" applyFont="0" applyFill="0" applyBorder="0" applyAlignment="0" applyProtection="0"/>
    <xf numFmtId="232" fontId="148" fillId="0" borderId="0" applyFont="0" applyFill="0" applyBorder="0" applyAlignment="0" applyProtection="0"/>
    <xf numFmtId="233" fontId="148" fillId="0" borderId="0" applyFont="0" applyFill="0" applyBorder="0" applyAlignment="0" applyProtection="0"/>
    <xf numFmtId="3" fontId="149" fillId="0" borderId="0" applyFont="0" applyFill="0" applyBorder="0" applyAlignment="0" applyProtection="0"/>
    <xf numFmtId="4" fontId="149" fillId="0" borderId="0" applyFont="0" applyFill="0" applyBorder="0" applyAlignment="0" applyProtection="0"/>
    <xf numFmtId="20" fontId="148" fillId="0" borderId="0" applyFont="0" applyFill="0" applyBorder="0" applyAlignment="0" applyProtection="0"/>
    <xf numFmtId="0" fontId="194" fillId="2" borderId="0" applyNumberFormat="0" applyBorder="0" applyAlignment="0" applyProtection="0"/>
    <xf numFmtId="0" fontId="195" fillId="0" borderId="1" applyNumberFormat="0" applyFill="0" applyAlignment="0" applyProtection="0"/>
    <xf numFmtId="0" fontId="196" fillId="0" borderId="2" applyNumberFormat="0" applyFill="0" applyAlignment="0" applyProtection="0"/>
    <xf numFmtId="0" fontId="197" fillId="0" borderId="3" applyNumberFormat="0" applyFill="0" applyAlignment="0" applyProtection="0"/>
    <xf numFmtId="0" fontId="197" fillId="0" borderId="0" applyNumberFormat="0" applyFill="0" applyBorder="0" applyAlignment="0" applyProtection="0"/>
    <xf numFmtId="234" fontId="17" fillId="0" borderId="0">
      <protection locked="0"/>
    </xf>
    <xf numFmtId="234" fontId="17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" fontId="8" fillId="54" borderId="10" applyNumberFormat="0" applyFill="0" applyBorder="0" applyAlignment="0" applyProtection="0"/>
    <xf numFmtId="0" fontId="198" fillId="5" borderId="4" applyNumberFormat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199" fillId="0" borderId="6" applyNumberFormat="0" applyFill="0" applyAlignment="0" applyProtection="0"/>
    <xf numFmtId="235" fontId="150" fillId="0" borderId="0" applyFont="0" applyFill="0" applyBorder="0" applyAlignment="0" applyProtection="0"/>
    <xf numFmtId="236" fontId="150" fillId="0" borderId="0" applyFont="0" applyFill="0" applyBorder="0" applyAlignment="0" applyProtection="0"/>
    <xf numFmtId="38" fontId="32" fillId="0" borderId="0"/>
    <xf numFmtId="165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237" fontId="150" fillId="0" borderId="0" applyFont="0" applyFill="0" applyBorder="0" applyAlignment="0" applyProtection="0"/>
    <xf numFmtId="238" fontId="150" fillId="0" borderId="0" applyFont="0" applyFill="0" applyBorder="0" applyAlignment="0" applyProtection="0"/>
    <xf numFmtId="165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0" fontId="200" fillId="4" borderId="0" applyNumberFormat="0" applyBorder="0" applyAlignment="0" applyProtection="0"/>
    <xf numFmtId="239" fontId="17" fillId="0" borderId="0"/>
    <xf numFmtId="0" fontId="3" fillId="0" borderId="0"/>
    <xf numFmtId="0" fontId="130" fillId="0" borderId="0"/>
    <xf numFmtId="0" fontId="126" fillId="0" borderId="0"/>
    <xf numFmtId="0" fontId="6" fillId="0" borderId="0"/>
    <xf numFmtId="0" fontId="90" fillId="0" borderId="0">
      <alignment vertical="center"/>
    </xf>
    <xf numFmtId="0" fontId="125" fillId="0" borderId="0">
      <alignment vertical="center"/>
    </xf>
    <xf numFmtId="0" fontId="125" fillId="8" borderId="8" applyNumberFormat="0" applyFont="0" applyAlignment="0" applyProtection="0"/>
    <xf numFmtId="0" fontId="8" fillId="0" borderId="0" applyFont="0" applyFill="0" applyBorder="0" applyAlignment="0" applyProtection="0"/>
    <xf numFmtId="0" fontId="15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8" fillId="0" borderId="0" applyFont="0" applyFill="0" applyBorder="0" applyAlignment="0" applyProtection="0"/>
    <xf numFmtId="174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25" fillId="0" borderId="0"/>
    <xf numFmtId="174" fontId="25" fillId="0" borderId="0" applyFont="0" applyFill="0" applyBorder="0" applyAlignment="0" applyProtection="0"/>
    <xf numFmtId="0" fontId="153" fillId="0" borderId="0" applyNumberFormat="0" applyFill="0" applyBorder="0" applyAlignment="0" applyProtection="0">
      <alignment vertical="top"/>
      <protection locked="0"/>
    </xf>
    <xf numFmtId="0" fontId="201" fillId="6" borderId="5" applyNumberFormat="0" applyAlignment="0" applyProtection="0"/>
    <xf numFmtId="9" fontId="125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8" fillId="0" borderId="36" applyNumberFormat="0" applyBorder="0"/>
    <xf numFmtId="15" fontId="48" fillId="0" borderId="0" applyFont="0" applyFill="0" applyBorder="0" applyAlignment="0" applyProtection="0"/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48" fillId="64" borderId="0" applyNumberFormat="0" applyFont="0" applyBorder="0" applyAlignment="0" applyProtection="0"/>
    <xf numFmtId="0" fontId="39" fillId="0" borderId="27" applyNumberFormat="0" applyFill="0" applyBorder="0">
      <alignment horizontal="left"/>
    </xf>
    <xf numFmtId="0" fontId="37" fillId="0" borderId="13" applyNumberFormat="0" applyFill="0" applyBorder="0" applyAlignment="0" applyProtection="0"/>
    <xf numFmtId="0" fontId="26" fillId="0" borderId="13" applyNumberFormat="0" applyFill="0" applyBorder="0" applyAlignment="0" applyProtection="0"/>
    <xf numFmtId="0" fontId="154" fillId="0" borderId="13" applyNumberFormat="0" applyFill="0" applyBorder="0" applyAlignment="0" applyProtection="0"/>
    <xf numFmtId="0" fontId="48" fillId="0" borderId="0"/>
    <xf numFmtId="0" fontId="84" fillId="0" borderId="13" applyNumberFormat="0" applyFill="0" applyBorder="0"/>
    <xf numFmtId="0" fontId="8" fillId="0" borderId="0" applyNumberFormat="0" applyFill="0" applyBorder="0" applyAlignment="0">
      <alignment horizontal="left"/>
    </xf>
    <xf numFmtId="0" fontId="8" fillId="0" borderId="0" applyNumberFormat="0" applyFill="0" applyBorder="0">
      <alignment horizontal="left"/>
    </xf>
    <xf numFmtId="0" fontId="17" fillId="0" borderId="0" applyNumberFormat="0" applyFill="0" applyBorder="0">
      <alignment horizontal="left"/>
    </xf>
    <xf numFmtId="0" fontId="48" fillId="0" borderId="0" applyNumberFormat="0" applyFont="0" applyProtection="0"/>
    <xf numFmtId="40" fontId="5" fillId="0" borderId="0"/>
    <xf numFmtId="0" fontId="202" fillId="0" borderId="0" applyNumberFormat="0" applyFill="0" applyBorder="0" applyAlignment="0" applyProtection="0"/>
    <xf numFmtId="0" fontId="203" fillId="0" borderId="9" applyNumberFormat="0" applyFill="0" applyAlignment="0" applyProtection="0"/>
    <xf numFmtId="240" fontId="17" fillId="0" borderId="0" applyFont="0" applyFill="0" applyBorder="0" applyAlignment="0" applyProtection="0"/>
    <xf numFmtId="4" fontId="149" fillId="0" borderId="0" applyFont="0" applyFill="0" applyBorder="0" applyAlignment="0" applyProtection="0"/>
    <xf numFmtId="174" fontId="8" fillId="0" borderId="0"/>
    <xf numFmtId="241" fontId="17" fillId="0" borderId="0" applyFont="0" applyFill="0" applyBorder="0" applyAlignment="0" applyProtection="0"/>
    <xf numFmtId="242" fontId="149" fillId="0" borderId="0" applyFont="0" applyFill="0" applyBorder="0" applyAlignment="0" applyProtection="0"/>
    <xf numFmtId="243" fontId="48" fillId="0" borderId="0" applyFont="0" applyFill="0" applyBorder="0" applyAlignment="0" applyProtection="0"/>
    <xf numFmtId="244" fontId="48" fillId="0" borderId="0" applyFont="0" applyFill="0" applyBorder="0" applyAlignment="0" applyProtection="0"/>
    <xf numFmtId="0" fontId="204" fillId="0" borderId="0" applyNumberFormat="0" applyFill="0" applyBorder="0" applyAlignment="0" applyProtection="0"/>
    <xf numFmtId="0" fontId="126" fillId="0" borderId="0">
      <alignment vertical="center"/>
    </xf>
    <xf numFmtId="0" fontId="90" fillId="0" borderId="0">
      <alignment vertical="center"/>
    </xf>
    <xf numFmtId="0" fontId="127" fillId="0" borderId="0"/>
    <xf numFmtId="0" fontId="126" fillId="0" borderId="0">
      <alignment vertical="center"/>
    </xf>
    <xf numFmtId="0" fontId="126" fillId="0" borderId="0">
      <alignment vertical="center"/>
    </xf>
    <xf numFmtId="0" fontId="8" fillId="0" borderId="0"/>
    <xf numFmtId="0" fontId="17" fillId="0" borderId="0"/>
    <xf numFmtId="0" fontId="156" fillId="0" borderId="0"/>
    <xf numFmtId="0" fontId="17" fillId="0" borderId="0"/>
    <xf numFmtId="0" fontId="188" fillId="0" borderId="0"/>
    <xf numFmtId="0" fontId="16" fillId="0" borderId="0"/>
    <xf numFmtId="0" fontId="16" fillId="0" borderId="0"/>
    <xf numFmtId="0" fontId="8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173" fontId="132" fillId="0" borderId="0"/>
    <xf numFmtId="174" fontId="127" fillId="0" borderId="0" applyFont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246" fontId="17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17" fillId="0" borderId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174" fontId="87" fillId="0" borderId="0" applyFont="0" applyFill="0" applyBorder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84" fillId="35" borderId="0" applyNumberFormat="0" applyBorder="0" applyAlignment="0" applyProtection="0">
      <alignment vertical="center"/>
    </xf>
    <xf numFmtId="0" fontId="184" fillId="35" borderId="0" applyNumberFormat="0" applyBorder="0" applyAlignment="0" applyProtection="0">
      <alignment vertical="center"/>
    </xf>
    <xf numFmtId="0" fontId="159" fillId="35" borderId="0" applyNumberFormat="0" applyBorder="0" applyAlignment="0" applyProtection="0">
      <alignment vertical="center"/>
    </xf>
    <xf numFmtId="0" fontId="159" fillId="35" borderId="0" applyNumberFormat="0" applyBorder="0" applyAlignment="0" applyProtection="0">
      <alignment vertical="center"/>
    </xf>
    <xf numFmtId="0" fontId="186" fillId="35" borderId="0" applyNumberFormat="0" applyBorder="0" applyAlignment="0" applyProtection="0">
      <alignment vertical="center"/>
    </xf>
    <xf numFmtId="9" fontId="12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top"/>
    </xf>
    <xf numFmtId="9" fontId="156" fillId="0" borderId="0" applyFill="0" applyBorder="0" applyAlignment="0" applyProtection="0"/>
    <xf numFmtId="9" fontId="3" fillId="0" borderId="0" applyFont="0" applyFill="0" applyBorder="0" applyAlignment="0" applyProtection="0"/>
    <xf numFmtId="9" fontId="125" fillId="0" borderId="0" applyFont="0" applyFill="0" applyBorder="0" applyAlignment="0" applyProtection="0">
      <alignment vertical="center"/>
    </xf>
    <xf numFmtId="0" fontId="160" fillId="58" borderId="22" applyNumberFormat="0" applyFont="0" applyAlignment="0" applyProtection="0">
      <alignment vertical="center"/>
    </xf>
    <xf numFmtId="0" fontId="161" fillId="34" borderId="0" applyNumberFormat="0" applyBorder="0" applyAlignment="0" applyProtection="0">
      <alignment vertical="center"/>
    </xf>
    <xf numFmtId="0" fontId="161" fillId="34" borderId="0" applyNumberFormat="0" applyBorder="0" applyAlignment="0" applyProtection="0">
      <alignment vertical="center"/>
    </xf>
    <xf numFmtId="0" fontId="162" fillId="0" borderId="0">
      <protection locked="0"/>
    </xf>
    <xf numFmtId="229" fontId="162" fillId="0" borderId="0">
      <protection locked="0"/>
    </xf>
    <xf numFmtId="0" fontId="6" fillId="0" borderId="0"/>
    <xf numFmtId="168" fontId="25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25" fillId="0" borderId="0" applyFont="0" applyFill="0" applyBorder="0" applyAlignment="0" applyProtection="0"/>
    <xf numFmtId="0" fontId="163" fillId="57" borderId="0" applyNumberFormat="0" applyBorder="0" applyAlignment="0" applyProtection="0">
      <alignment vertical="center"/>
    </xf>
    <xf numFmtId="0" fontId="131" fillId="0" borderId="0">
      <protection locked="0"/>
    </xf>
    <xf numFmtId="216" fontId="162" fillId="0" borderId="0" applyFont="0" applyFill="0" applyBorder="0" applyAlignment="0" applyProtection="0"/>
    <xf numFmtId="217" fontId="16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0" fontId="164" fillId="0" borderId="0" applyNumberFormat="0" applyFill="0" applyBorder="0" applyAlignment="0" applyProtection="0">
      <alignment vertical="top"/>
      <protection locked="0"/>
    </xf>
    <xf numFmtId="0" fontId="131" fillId="0" borderId="0">
      <protection locked="0"/>
    </xf>
    <xf numFmtId="0" fontId="162" fillId="0" borderId="0">
      <protection locked="0"/>
    </xf>
    <xf numFmtId="0" fontId="165" fillId="0" borderId="0" applyNumberFormat="0" applyFill="0" applyBorder="0" applyAlignment="0" applyProtection="0">
      <alignment vertical="top"/>
      <protection locked="0"/>
    </xf>
    <xf numFmtId="0" fontId="166" fillId="0" borderId="0" applyNumberFormat="0" applyFill="0" applyBorder="0" applyAlignment="0" applyProtection="0">
      <alignment vertical="center"/>
    </xf>
    <xf numFmtId="9" fontId="169" fillId="0" borderId="0" applyFont="0" applyFill="0" applyBorder="0" applyAlignment="0" applyProtection="0"/>
    <xf numFmtId="0" fontId="170" fillId="0" borderId="0" applyNumberFormat="0" applyFill="0" applyBorder="0" applyAlignment="0" applyProtection="0">
      <alignment vertical="top"/>
      <protection locked="0"/>
    </xf>
    <xf numFmtId="248" fontId="8" fillId="0" borderId="0" applyFont="0" applyFill="0" applyBorder="0" applyAlignment="0" applyProtection="0"/>
    <xf numFmtId="249" fontId="8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1" fillId="0" borderId="41" applyNumberFormat="0" applyFill="0" applyProtection="0">
      <alignment vertical="center"/>
    </xf>
    <xf numFmtId="0" fontId="128" fillId="0" borderId="18" applyNumberFormat="0" applyFill="0" applyProtection="0">
      <alignment vertical="center"/>
    </xf>
    <xf numFmtId="0" fontId="172" fillId="0" borderId="19" applyNumberFormat="0" applyFill="0" applyProtection="0">
      <alignment vertical="center"/>
    </xf>
    <xf numFmtId="0" fontId="129" fillId="0" borderId="19" applyNumberFormat="0" applyFill="0" applyProtection="0">
      <alignment vertical="center"/>
    </xf>
    <xf numFmtId="4" fontId="131" fillId="0" borderId="0">
      <protection locked="0"/>
    </xf>
    <xf numFmtId="227" fontId="162" fillId="0" borderId="0">
      <protection locked="0"/>
    </xf>
    <xf numFmtId="225" fontId="17" fillId="0" borderId="0">
      <alignment vertical="center"/>
    </xf>
    <xf numFmtId="225" fontId="17" fillId="0" borderId="0" applyFont="0" applyFill="0" applyBorder="0" applyAlignment="0" applyProtection="0"/>
    <xf numFmtId="226" fontId="17" fillId="0" borderId="0" applyFont="0" applyFill="0" applyBorder="0" applyAlignment="0" applyProtection="0"/>
    <xf numFmtId="0" fontId="173" fillId="0" borderId="0" applyNumberFormat="0" applyFill="0" applyBorder="0" applyAlignment="0" applyProtection="0">
      <alignment vertical="top"/>
      <protection locked="0"/>
    </xf>
    <xf numFmtId="0" fontId="185" fillId="34" borderId="0" applyNumberFormat="0" applyBorder="0" applyAlignment="0" applyProtection="0">
      <alignment vertical="center"/>
    </xf>
    <xf numFmtId="0" fontId="185" fillId="34" borderId="0" applyNumberFormat="0" applyBorder="0" applyAlignment="0" applyProtection="0">
      <alignment vertical="center"/>
    </xf>
    <xf numFmtId="0" fontId="187" fillId="34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9" fillId="47" borderId="0" applyNumberFormat="0" applyBorder="0" applyAlignment="0" applyProtection="0">
      <alignment vertical="center"/>
    </xf>
    <xf numFmtId="0" fontId="139" fillId="48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45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0" borderId="18" applyNumberFormat="0" applyFill="0" applyAlignment="0" applyProtection="0">
      <alignment vertical="center"/>
    </xf>
    <xf numFmtId="0" fontId="177" fillId="0" borderId="19" applyNumberFormat="0" applyFill="0" applyAlignment="0" applyProtection="0">
      <alignment vertical="center"/>
    </xf>
    <xf numFmtId="0" fontId="178" fillId="0" borderId="20" applyNumberFormat="0" applyFill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9" fillId="52" borderId="12" applyNumberForma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35" fillId="0" borderId="0">
      <protection locked="0"/>
    </xf>
    <xf numFmtId="0" fontId="135" fillId="0" borderId="0">
      <protection locked="0"/>
    </xf>
    <xf numFmtId="224" fontId="162" fillId="0" borderId="0">
      <protection locked="0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0" fontId="182" fillId="0" borderId="0"/>
    <xf numFmtId="0" fontId="131" fillId="0" borderId="40">
      <protection locked="0"/>
    </xf>
    <xf numFmtId="0" fontId="183" fillId="0" borderId="21" applyNumberFormat="0" applyFill="0" applyAlignment="0" applyProtection="0">
      <alignment vertical="center"/>
    </xf>
    <xf numFmtId="0" fontId="17" fillId="0" borderId="0"/>
    <xf numFmtId="0" fontId="25" fillId="0" borderId="0"/>
    <xf numFmtId="0" fontId="155" fillId="0" borderId="0" applyFont="0" applyFill="0" applyBorder="0" applyAlignment="0" applyProtection="0"/>
    <xf numFmtId="245" fontId="8" fillId="0" borderId="0" applyFont="0" applyFill="0" applyBorder="0" applyAlignment="0" applyProtection="0"/>
    <xf numFmtId="173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0" fontId="17" fillId="0" borderId="0"/>
    <xf numFmtId="37" fontId="63" fillId="0" borderId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25" fillId="0" borderId="0" applyFont="0" applyFill="0" applyBorder="0" applyAlignment="0" applyProtection="0"/>
    <xf numFmtId="174" fontId="125" fillId="0" borderId="0" applyFont="0" applyFill="0" applyBorder="0" applyAlignment="0" applyProtection="0"/>
    <xf numFmtId="0" fontId="205" fillId="0" borderId="0">
      <alignment vertical="center"/>
    </xf>
    <xf numFmtId="174" fontId="205" fillId="0" borderId="0" applyFon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21" fontId="114" fillId="0" borderId="0">
      <alignment vertical="center"/>
    </xf>
    <xf numFmtId="0" fontId="27" fillId="0" borderId="37" applyNumberFormat="0" applyFill="0" applyProtection="0">
      <alignment horizontal="center"/>
    </xf>
    <xf numFmtId="171" fontId="3" fillId="0" borderId="0" applyFont="0" applyFill="0" applyBorder="0" applyAlignment="0" applyProtection="0">
      <alignment vertical="center"/>
    </xf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14" fontId="39" fillId="55" borderId="35">
      <alignment horizontal="center" vertical="center" wrapText="1"/>
    </xf>
    <xf numFmtId="0" fontId="40" fillId="0" borderId="35">
      <alignment horizontal="center"/>
    </xf>
    <xf numFmtId="0" fontId="42" fillId="0" borderId="35"/>
    <xf numFmtId="0" fontId="49" fillId="0" borderId="35">
      <alignment horizontal="center"/>
    </xf>
    <xf numFmtId="0" fontId="50" fillId="1" borderId="16" applyNumberFormat="0" applyFont="0" applyAlignment="0">
      <alignment horizont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113" fillId="0" borderId="21" applyNumberFormat="0" applyFill="0" applyAlignment="0" applyProtection="0">
      <alignment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171" fontId="17" fillId="0" borderId="10" applyNumberFormat="0"/>
    <xf numFmtId="0" fontId="3" fillId="0" borderId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55" fillId="0" borderId="10">
      <alignment horizontal="center"/>
    </xf>
    <xf numFmtId="0" fontId="45" fillId="0" borderId="0"/>
    <xf numFmtId="0" fontId="3" fillId="0" borderId="0">
      <alignment vertical="center"/>
    </xf>
    <xf numFmtId="0" fontId="82" fillId="51" borderId="23" applyNumberFormat="0" applyAlignment="0" applyProtection="0">
      <alignment vertical="center"/>
    </xf>
    <xf numFmtId="171" fontId="17" fillId="0" borderId="10" applyNumberFormat="0"/>
    <xf numFmtId="0" fontId="122" fillId="0" borderId="0">
      <alignment vertical="center"/>
    </xf>
    <xf numFmtId="0" fontId="17" fillId="0" borderId="0"/>
    <xf numFmtId="9" fontId="17" fillId="0" borderId="0" applyFont="0" applyFill="0" applyBorder="0" applyAlignment="0" applyProtection="0"/>
    <xf numFmtId="0" fontId="118" fillId="0" borderId="0">
      <alignment vertical="center"/>
    </xf>
    <xf numFmtId="174" fontId="1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0" fontId="1" fillId="0" borderId="0"/>
    <xf numFmtId="17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4" fontId="3" fillId="0" borderId="0" applyFont="0" applyFill="0" applyBorder="0" applyAlignment="0" applyProtection="0">
      <alignment vertical="center"/>
    </xf>
    <xf numFmtId="17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1" fillId="0" borderId="0"/>
    <xf numFmtId="222" fontId="120" fillId="0" borderId="0" applyNumberFormat="0" applyFill="0" applyBorder="0" applyAlignment="0" applyProtection="0">
      <alignment vertical="top"/>
      <protection locked="0"/>
    </xf>
    <xf numFmtId="0" fontId="55" fillId="0" borderId="10">
      <alignment horizontal="center"/>
    </xf>
    <xf numFmtId="0" fontId="49" fillId="0" borderId="35">
      <alignment horizontal="center"/>
    </xf>
    <xf numFmtId="0" fontId="35" fillId="54" borderId="10"/>
    <xf numFmtId="0" fontId="42" fillId="0" borderId="35"/>
    <xf numFmtId="10" fontId="35" fillId="56" borderId="10" applyNumberFormat="0" applyBorder="0" applyAlignment="0" applyProtection="0"/>
    <xf numFmtId="0" fontId="40" fillId="0" borderId="35">
      <alignment horizontal="center"/>
    </xf>
    <xf numFmtId="14" fontId="39" fillId="55" borderId="35">
      <alignment horizontal="center" vertical="center" wrapText="1"/>
    </xf>
    <xf numFmtId="0" fontId="35" fillId="53" borderId="10"/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" fillId="0" borderId="0"/>
    <xf numFmtId="0" fontId="115" fillId="0" borderId="0">
      <alignment vertical="center"/>
    </xf>
    <xf numFmtId="0" fontId="124" fillId="0" borderId="0">
      <alignment vertical="center"/>
    </xf>
    <xf numFmtId="171" fontId="17" fillId="0" borderId="10" applyNumberFormat="0"/>
    <xf numFmtId="0" fontId="17" fillId="0" borderId="0"/>
    <xf numFmtId="0" fontId="3" fillId="0" borderId="0">
      <alignment vertical="center"/>
    </xf>
    <xf numFmtId="0" fontId="45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96" fontId="88" fillId="0" borderId="10" applyBorder="0"/>
    <xf numFmtId="196" fontId="86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37" fillId="0" borderId="37" applyNumberFormat="0" applyFill="0" applyBorder="0" applyAlignment="0" applyProtection="0"/>
    <xf numFmtId="0" fontId="26" fillId="0" borderId="37" applyNumberFormat="0" applyFill="0" applyBorder="0" applyAlignment="0" applyProtection="0"/>
    <xf numFmtId="0" fontId="154" fillId="0" borderId="37" applyNumberFormat="0" applyFill="0" applyBorder="0" applyAlignment="0" applyProtection="0"/>
    <xf numFmtId="0" fontId="84" fillId="0" borderId="37" applyNumberFormat="0" applyFill="0" applyBorder="0"/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60" fillId="58" borderId="22" applyNumberFormat="0" applyFon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96" fillId="58" borderId="22" applyNumberFormat="0" applyFon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183" fillId="0" borderId="21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13" fillId="0" borderId="21" applyNumberFormat="0" applyFill="0" applyAlignment="0" applyProtection="0">
      <alignment vertical="center"/>
    </xf>
    <xf numFmtId="171" fontId="4" fillId="0" borderId="0" applyFont="0" applyFill="0" applyBorder="0" applyAlignment="0" applyProtection="0">
      <alignment vertical="center"/>
    </xf>
    <xf numFmtId="0" fontId="83" fillId="0" borderId="21" applyNumberFormat="0" applyFill="0" applyAlignment="0" applyProtection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111" fillId="38" borderId="11" applyNumberFormat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17" fillId="0" borderId="10" applyNumberFormat="0"/>
    <xf numFmtId="0" fontId="167" fillId="38" borderId="11" applyNumberFormat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5" fillId="54" borderId="10"/>
    <xf numFmtId="0" fontId="45" fillId="58" borderId="22" applyNumberFormat="0" applyFont="0" applyAlignment="0" applyProtection="0">
      <alignment vertical="center"/>
    </xf>
    <xf numFmtId="0" fontId="35" fillId="53" borderId="10"/>
    <xf numFmtId="171" fontId="17" fillId="0" borderId="10" applyNumberFormat="0"/>
    <xf numFmtId="0" fontId="112" fillId="51" borderId="23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38" fillId="0" borderId="38">
      <alignment horizontal="left" vertical="center"/>
    </xf>
    <xf numFmtId="0" fontId="111" fillId="38" borderId="11" applyNumberForma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78" fillId="0" borderId="20" applyNumberFormat="0" applyFill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35" fillId="53" borderId="10"/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0" borderId="10" applyNumberFormat="0" applyFill="0" applyBorder="0">
      <alignment horizontal="left" vertical="top"/>
    </xf>
    <xf numFmtId="171" fontId="17" fillId="0" borderId="10" applyNumberFormat="0"/>
    <xf numFmtId="3" fontId="95" fillId="0" borderId="10" applyFont="0" applyAlignment="0">
      <alignment horizontal="right" vertical="center"/>
    </xf>
    <xf numFmtId="196" fontId="86" fillId="0" borderId="10"/>
    <xf numFmtId="0" fontId="82" fillId="51" borderId="23" applyNumberFormat="0" applyAlignment="0" applyProtection="0">
      <alignment vertical="center"/>
    </xf>
    <xf numFmtId="0" fontId="50" fillId="1" borderId="38" applyNumberFormat="0" applyFont="0" applyAlignment="0">
      <alignment horizontal="center"/>
    </xf>
    <xf numFmtId="0" fontId="45" fillId="58" borderId="22" applyNumberFormat="0" applyFon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55" fillId="0" borderId="10">
      <alignment horizontal="center"/>
    </xf>
    <xf numFmtId="0" fontId="110" fillId="51" borderId="11" applyNumberFormat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110" fillId="51" borderId="11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12" fillId="51" borderId="23" applyNumberForma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5" fillId="0" borderId="10" applyNumberFormat="0" applyFill="0" applyBorder="0">
      <alignment horizontal="center" vertical="top" wrapText="1"/>
    </xf>
    <xf numFmtId="0" fontId="96" fillId="58" borderId="22" applyNumberFormat="0" applyFont="0" applyAlignment="0" applyProtection="0">
      <alignment vertical="center"/>
    </xf>
    <xf numFmtId="37" fontId="95" fillId="0" borderId="10" applyFont="0" applyAlignment="0">
      <alignment horizontal="right"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111" fillId="38" borderId="11" applyNumberFormat="0" applyAlignment="0" applyProtection="0">
      <alignment vertical="center"/>
    </xf>
    <xf numFmtId="0" fontId="35" fillId="0" borderId="10" applyNumberFormat="0" applyFill="0" applyBorder="0">
      <alignment horizontal="center" vertical="top" wrapText="1"/>
    </xf>
    <xf numFmtId="0" fontId="55" fillId="0" borderId="10">
      <alignment horizontal="center"/>
    </xf>
    <xf numFmtId="0" fontId="55" fillId="0" borderId="10">
      <alignment horizontal="center"/>
    </xf>
    <xf numFmtId="0" fontId="38" fillId="0" borderId="16">
      <alignment horizontal="left" vertical="center"/>
    </xf>
    <xf numFmtId="37" fontId="95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171" fontId="17" fillId="0" borderId="10" applyNumberFormat="0"/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55" fillId="0" borderId="10">
      <alignment horizontal="center"/>
    </xf>
    <xf numFmtId="0" fontId="168" fillId="51" borderId="23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35" fillId="53" borderId="10"/>
    <xf numFmtId="0" fontId="109" fillId="0" borderId="26" applyNumberFormat="0" applyFill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38" fillId="0" borderId="38">
      <alignment horizontal="left" vertical="center"/>
    </xf>
    <xf numFmtId="171" fontId="17" fillId="0" borderId="0" applyFont="0" applyFill="0" applyBorder="0" applyAlignment="0" applyProtection="0"/>
    <xf numFmtId="0" fontId="112" fillId="51" borderId="23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107" fillId="0" borderId="20" applyNumberFormat="0" applyFill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60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55" fillId="0" borderId="10">
      <alignment horizontal="center"/>
    </xf>
    <xf numFmtId="0" fontId="109" fillId="0" borderId="26" applyNumberFormat="0" applyFill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3" fontId="95" fillId="0" borderId="10" applyFont="0" applyAlignment="0">
      <alignment horizontal="right" vertical="center"/>
    </xf>
    <xf numFmtId="0" fontId="35" fillId="54" borderId="1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3" fillId="0" borderId="0" applyFont="0" applyFill="0" applyBorder="0" applyAlignment="0" applyProtection="0">
      <alignment vertical="center"/>
    </xf>
    <xf numFmtId="10" fontId="35" fillId="56" borderId="10" applyNumberFormat="0" applyBorder="0" applyAlignment="0" applyProtection="0"/>
    <xf numFmtId="0" fontId="82" fillId="51" borderId="23" applyNumberFormat="0" applyAlignment="0" applyProtection="0">
      <alignment vertical="center"/>
    </xf>
    <xf numFmtId="196" fontId="88" fillId="0" borderId="10" applyBorder="0"/>
    <xf numFmtId="0" fontId="55" fillId="0" borderId="10">
      <alignment horizontal="center"/>
    </xf>
    <xf numFmtId="3" fontId="95" fillId="0" borderId="10" applyFont="0" applyAlignment="0">
      <alignment horizontal="right" vertical="center"/>
    </xf>
    <xf numFmtId="0" fontId="111" fillId="38" borderId="11" applyNumberFormat="0" applyAlignment="0" applyProtection="0">
      <alignment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3" fontId="95" fillId="0" borderId="10" applyFont="0" applyAlignment="0">
      <alignment horizontal="right" vertical="center"/>
    </xf>
    <xf numFmtId="247" fontId="157" fillId="59" borderId="10" applyFont="0" applyFill="0" applyBorder="0" applyAlignment="0">
      <alignment horizontal="center"/>
    </xf>
    <xf numFmtId="0" fontId="38" fillId="0" borderId="38">
      <alignment horizontal="left" vertical="center"/>
    </xf>
    <xf numFmtId="0" fontId="111" fillId="38" borderId="11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67" fillId="38" borderId="11" applyNumberForma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1" fillId="51" borderId="11" applyNumberFormat="0" applyAlignment="0" applyProtection="0">
      <alignment vertical="center"/>
    </xf>
    <xf numFmtId="171" fontId="8" fillId="0" borderId="0" applyNumberFormat="0" applyFill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55" fillId="0" borderId="10">
      <alignment horizont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109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10" fontId="35" fillId="56" borderId="10" applyNumberFormat="0" applyBorder="0" applyAlignment="0" applyProtection="0"/>
    <xf numFmtId="171" fontId="3" fillId="0" borderId="0" applyFont="0" applyFill="0" applyBorder="0" applyAlignment="0" applyProtection="0">
      <alignment vertical="center"/>
    </xf>
    <xf numFmtId="3" fontId="8" fillId="54" borderId="10" applyNumberFormat="0" applyFill="0" applyBorder="0" applyAlignment="0" applyProtection="0"/>
    <xf numFmtId="0" fontId="50" fillId="1" borderId="38" applyNumberFormat="0" applyFont="0" applyAlignment="0">
      <alignment horizontal="center"/>
    </xf>
    <xf numFmtId="0" fontId="81" fillId="38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35" fillId="53" borderId="10"/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3" fontId="95" fillId="0" borderId="10" applyFont="0" applyAlignment="0">
      <alignment horizontal="right" vertical="center"/>
    </xf>
    <xf numFmtId="171" fontId="17" fillId="0" borderId="10" applyNumberFormat="0"/>
    <xf numFmtId="0" fontId="55" fillId="0" borderId="10">
      <alignment horizont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4" fontId="4" fillId="0" borderId="0" applyFont="0" applyFill="0" applyBorder="0" applyAlignment="0" applyProtection="0">
      <alignment vertical="center"/>
    </xf>
    <xf numFmtId="0" fontId="38" fillId="0" borderId="38">
      <alignment horizontal="left" vertical="center"/>
    </xf>
    <xf numFmtId="0" fontId="80" fillId="51" borderId="11" applyNumberFormat="0" applyAlignment="0" applyProtection="0">
      <alignment vertical="center"/>
    </xf>
    <xf numFmtId="3" fontId="8" fillId="54" borderId="10" applyNumberFormat="0" applyFill="0" applyBorder="0" applyAlignment="0" applyProtection="0"/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110" fillId="51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35" fillId="54" borderId="10"/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0" fontId="35" fillId="54" borderId="10"/>
    <xf numFmtId="170" fontId="3" fillId="0" borderId="0" applyFont="0" applyFill="0" applyBorder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60" fillId="58" borderId="22" applyNumberFormat="0" applyFon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71" fontId="17" fillId="0" borderId="10" applyNumberFormat="0"/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8" fillId="0" borderId="38">
      <alignment horizontal="left" vertical="center"/>
    </xf>
    <xf numFmtId="3" fontId="95" fillId="0" borderId="10" applyFont="0" applyAlignment="0">
      <alignment horizontal="right" vertical="center"/>
    </xf>
    <xf numFmtId="0" fontId="35" fillId="53" borderId="10"/>
    <xf numFmtId="0" fontId="45" fillId="58" borderId="22" applyNumberFormat="0" applyFont="0" applyAlignment="0" applyProtection="0">
      <alignment vertical="center"/>
    </xf>
    <xf numFmtId="196" fontId="88" fillId="0" borderId="10" applyBorder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96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0" fontId="11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49" fillId="0" borderId="35">
      <alignment horizontal="center"/>
    </xf>
    <xf numFmtId="0" fontId="35" fillId="54" borderId="10"/>
    <xf numFmtId="0" fontId="42" fillId="0" borderId="35"/>
    <xf numFmtId="10" fontId="35" fillId="56" borderId="10" applyNumberFormat="0" applyBorder="0" applyAlignment="0" applyProtection="0"/>
    <xf numFmtId="0" fontId="40" fillId="0" borderId="35">
      <alignment horizontal="center"/>
    </xf>
    <xf numFmtId="14" fontId="39" fillId="55" borderId="35">
      <alignment horizontal="center" vertical="center" wrapText="1"/>
    </xf>
    <xf numFmtId="0" fontId="35" fillId="53" borderId="10"/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10" fillId="51" borderId="11" applyNumberFormat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2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9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171" fontId="17" fillId="0" borderId="10" applyNumberFormat="0"/>
    <xf numFmtId="170" fontId="3" fillId="0" borderId="0" applyFont="0" applyFill="0" applyBorder="0" applyAlignment="0" applyProtection="0">
      <alignment vertical="center"/>
    </xf>
    <xf numFmtId="10" fontId="35" fillId="56" borderId="10" applyNumberFormat="0" applyBorder="0" applyAlignment="0" applyProtection="0"/>
    <xf numFmtId="0" fontId="35" fillId="53" borderId="10"/>
    <xf numFmtId="172" fontId="17" fillId="0" borderId="0" applyFont="0" applyFill="0" applyBorder="0" applyAlignment="0" applyProtection="0"/>
    <xf numFmtId="37" fontId="95" fillId="0" borderId="10" applyFont="0" applyAlignment="0">
      <alignment horizontal="right" vertical="center"/>
    </xf>
    <xf numFmtId="171" fontId="2" fillId="0" borderId="0" applyFont="0" applyFill="0" applyBorder="0" applyAlignment="0" applyProtection="0">
      <alignment vertical="center"/>
    </xf>
    <xf numFmtId="171" fontId="17" fillId="0" borderId="10" applyNumberFormat="0"/>
    <xf numFmtId="171" fontId="6" fillId="0" borderId="0" applyFont="0" applyFill="0" applyBorder="0" applyAlignment="0" applyProtection="0"/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107" fillId="0" borderId="20" applyNumberFormat="0" applyFill="0" applyAlignment="0" applyProtection="0">
      <alignment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" fontId="95" fillId="0" borderId="10" applyFont="0" applyAlignment="0">
      <alignment horizontal="right" vertical="center"/>
    </xf>
    <xf numFmtId="174" fontId="4" fillId="0" borderId="0" applyFont="0" applyFill="0" applyBorder="0" applyAlignment="0" applyProtection="0">
      <alignment vertical="center"/>
    </xf>
    <xf numFmtId="0" fontId="35" fillId="54" borderId="10"/>
    <xf numFmtId="0" fontId="96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196" fontId="86" fillId="0" borderId="10"/>
    <xf numFmtId="247" fontId="157" fillId="59" borderId="10" applyFont="0" applyFill="0" applyBorder="0" applyAlignment="0">
      <alignment horizontal="center"/>
    </xf>
    <xf numFmtId="0" fontId="35" fillId="0" borderId="10" applyNumberFormat="0" applyFill="0" applyBorder="0">
      <alignment horizontal="left" vertical="top"/>
    </xf>
    <xf numFmtId="0" fontId="35" fillId="0" borderId="10" applyNumberFormat="0" applyFill="0" applyBorder="0">
      <alignment horizontal="center" vertical="top" wrapText="1"/>
    </xf>
    <xf numFmtId="3" fontId="8" fillId="54" borderId="10" applyNumberFormat="0" applyFill="0" applyBorder="0" applyAlignment="0" applyProtection="0"/>
    <xf numFmtId="196" fontId="86" fillId="0" borderId="10"/>
    <xf numFmtId="196" fontId="88" fillId="0" borderId="10" applyBorder="0"/>
    <xf numFmtId="0" fontId="35" fillId="54" borderId="10"/>
    <xf numFmtId="0" fontId="35" fillId="53" borderId="10"/>
    <xf numFmtId="37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10" fontId="35" fillId="56" borderId="10" applyNumberFormat="0" applyBorder="0" applyAlignment="0" applyProtection="0"/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0" fontId="35" fillId="53" borderId="10"/>
    <xf numFmtId="0" fontId="109" fillId="0" borderId="26" applyNumberFormat="0" applyFill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171" fontId="17" fillId="0" borderId="10" applyNumberFormat="0"/>
    <xf numFmtId="0" fontId="7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37" fontId="95" fillId="0" borderId="10" applyFont="0" applyAlignment="0">
      <alignment horizontal="right" vertical="center"/>
    </xf>
    <xf numFmtId="171" fontId="17" fillId="0" borderId="10" applyNumberFormat="0"/>
    <xf numFmtId="0" fontId="110" fillId="51" borderId="11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3" fontId="95" fillId="0" borderId="10" applyFont="0" applyAlignment="0">
      <alignment horizontal="right" vertical="center"/>
    </xf>
    <xf numFmtId="0" fontId="107" fillId="0" borderId="20" applyNumberFormat="0" applyFill="0" applyAlignment="0" applyProtection="0">
      <alignment vertical="center"/>
    </xf>
    <xf numFmtId="0" fontId="55" fillId="0" borderId="10">
      <alignment horizontal="center"/>
    </xf>
    <xf numFmtId="3" fontId="95" fillId="0" borderId="10" applyFont="0" applyAlignment="0">
      <alignment horizontal="right" vertical="center"/>
    </xf>
    <xf numFmtId="0" fontId="111" fillId="38" borderId="11" applyNumberFormat="0" applyAlignment="0" applyProtection="0">
      <alignment vertic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160" fillId="58" borderId="22" applyNumberFormat="0" applyFont="0" applyAlignment="0" applyProtection="0">
      <alignment vertical="center"/>
    </xf>
    <xf numFmtId="171" fontId="17" fillId="0" borderId="10" applyNumberFormat="0"/>
    <xf numFmtId="0" fontId="35" fillId="53" borderId="10"/>
    <xf numFmtId="0" fontId="55" fillId="0" borderId="10">
      <alignment horizontal="center"/>
    </xf>
    <xf numFmtId="0" fontId="35" fillId="54" borderId="10"/>
    <xf numFmtId="0" fontId="96" fillId="58" borderId="22" applyNumberFormat="0" applyFont="0" applyAlignment="0" applyProtection="0">
      <alignment vertical="center"/>
    </xf>
    <xf numFmtId="171" fontId="17" fillId="0" borderId="10" applyNumberFormat="0"/>
    <xf numFmtId="0" fontId="50" fillId="1" borderId="16" applyNumberFormat="0" applyFont="0" applyAlignment="0">
      <alignment horizontal="center"/>
    </xf>
    <xf numFmtId="0" fontId="112" fillId="51" borderId="23" applyNumberFormat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111" fillId="38" borderId="11" applyNumberFormat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171" fontId="17" fillId="0" borderId="10" applyNumberFormat="0"/>
    <xf numFmtId="0" fontId="50" fillId="1" borderId="16" applyNumberFormat="0" applyFont="0" applyAlignment="0">
      <alignment horizontal="center"/>
    </xf>
    <xf numFmtId="0" fontId="39" fillId="0" borderId="39" applyNumberFormat="0" applyFill="0">
      <alignment horizontal="left"/>
    </xf>
    <xf numFmtId="0" fontId="55" fillId="0" borderId="10">
      <alignment horizontal="center"/>
    </xf>
    <xf numFmtId="10" fontId="35" fillId="56" borderId="10" applyNumberFormat="0" applyBorder="0" applyAlignment="0" applyProtection="0"/>
    <xf numFmtId="196" fontId="88" fillId="0" borderId="10" applyBorder="0"/>
    <xf numFmtId="0" fontId="35" fillId="0" borderId="10" applyNumberFormat="0" applyFill="0" applyBorder="0">
      <alignment horizontal="center" vertical="top" wrapText="1"/>
    </xf>
    <xf numFmtId="196" fontId="86" fillId="0" borderId="10"/>
    <xf numFmtId="0" fontId="55" fillId="0" borderId="10">
      <alignment horizontal="center"/>
    </xf>
    <xf numFmtId="0" fontId="35" fillId="53" borderId="10"/>
    <xf numFmtId="0" fontId="110" fillId="51" borderId="11" applyNumberFormat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10" fillId="51" borderId="11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171" fontId="17" fillId="0" borderId="10" applyNumberFormat="0"/>
    <xf numFmtId="0" fontId="55" fillId="0" borderId="10">
      <alignment horizontal="center"/>
    </xf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3" fontId="95" fillId="0" borderId="10" applyFont="0" applyAlignment="0">
      <alignment horizontal="right" vertical="center"/>
    </xf>
    <xf numFmtId="0" fontId="55" fillId="0" borderId="10">
      <alignment horizontal="center"/>
    </xf>
    <xf numFmtId="0" fontId="81" fillId="38" borderId="11" applyNumberFormat="0" applyAlignment="0" applyProtection="0">
      <alignment vertical="center"/>
    </xf>
    <xf numFmtId="171" fontId="17" fillId="0" borderId="10" applyNumberFormat="0"/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5" fillId="0" borderId="10" applyNumberFormat="0" applyFill="0" applyBorder="0">
      <alignment horizontal="left" vertical="top"/>
    </xf>
    <xf numFmtId="0" fontId="35" fillId="53" borderId="10"/>
    <xf numFmtId="171" fontId="17" fillId="0" borderId="10" applyNumberFormat="0"/>
    <xf numFmtId="3" fontId="8" fillId="54" borderId="10" applyNumberFormat="0" applyFill="0" applyBorder="0" applyAlignment="0" applyProtection="0"/>
    <xf numFmtId="0" fontId="109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50" fillId="1" borderId="38" applyNumberFormat="0" applyFont="0" applyAlignment="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171" fontId="17" fillId="0" borderId="10" applyNumberFormat="0"/>
    <xf numFmtId="0" fontId="45" fillId="58" borderId="22" applyNumberFormat="0" applyFon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55" fillId="0" borderId="10">
      <alignment horizontal="center"/>
    </xf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8" fillId="0" borderId="16">
      <alignment horizontal="left" vertical="center"/>
    </xf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247" fontId="157" fillId="59" borderId="10" applyFont="0" applyFill="0" applyBorder="0" applyAlignment="0">
      <alignment horizontal="center"/>
    </xf>
    <xf numFmtId="0" fontId="160" fillId="58" borderId="22" applyNumberFormat="0" applyFont="0" applyAlignment="0" applyProtection="0">
      <alignment vertical="center"/>
    </xf>
    <xf numFmtId="171" fontId="17" fillId="0" borderId="10" applyNumberFormat="0"/>
    <xf numFmtId="0" fontId="38" fillId="0" borderId="38">
      <alignment horizontal="left" vertical="center"/>
    </xf>
    <xf numFmtId="0" fontId="110" fillId="51" borderId="11" applyNumberFormat="0" applyAlignment="0" applyProtection="0">
      <alignment vertical="center"/>
    </xf>
    <xf numFmtId="0" fontId="50" fillId="1" borderId="38" applyNumberFormat="0" applyFont="0" applyAlignment="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10" fontId="35" fillId="56" borderId="10" applyNumberFormat="0" applyBorder="0" applyAlignment="0" applyProtection="0"/>
    <xf numFmtId="0" fontId="50" fillId="1" borderId="38" applyNumberFormat="0" applyFont="0" applyAlignment="0">
      <alignment horizontal="center"/>
    </xf>
    <xf numFmtId="0" fontId="110" fillId="51" borderId="11" applyNumberFormat="0" applyAlignment="0" applyProtection="0">
      <alignment vertical="center"/>
    </xf>
    <xf numFmtId="0" fontId="50" fillId="1" borderId="38" applyNumberFormat="0" applyFont="0" applyAlignment="0">
      <alignment horizontal="center"/>
    </xf>
    <xf numFmtId="171" fontId="17" fillId="0" borderId="10" applyNumberFormat="0"/>
    <xf numFmtId="0" fontId="35" fillId="53" borderId="10"/>
    <xf numFmtId="0" fontId="180" fillId="0" borderId="26" applyNumberFormat="0" applyFill="0" applyAlignment="0" applyProtection="0">
      <alignment vertical="center"/>
    </xf>
    <xf numFmtId="0" fontId="38" fillId="0" borderId="16">
      <alignment horizontal="left"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0" fontId="183" fillId="0" borderId="21" applyNumberFormat="0" applyFill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55" fillId="0" borderId="10">
      <alignment horizontal="center"/>
    </xf>
    <xf numFmtId="3" fontId="95" fillId="0" borderId="10" applyFont="0" applyAlignment="0">
      <alignment horizontal="right" vertical="center"/>
    </xf>
    <xf numFmtId="0" fontId="110" fillId="51" borderId="11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96" fontId="88" fillId="0" borderId="10" applyBorder="0"/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111" fillId="38" borderId="11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8" fillId="0" borderId="16">
      <alignment horizontal="lef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171" fontId="17" fillId="0" borderId="10" applyNumberFormat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55" fillId="0" borderId="10">
      <alignment horizontal="center"/>
    </xf>
    <xf numFmtId="196" fontId="86" fillId="0" borderId="10"/>
    <xf numFmtId="0" fontId="82" fillId="51" borderId="23" applyNumberFormat="0" applyAlignment="0" applyProtection="0">
      <alignment vertical="center"/>
    </xf>
    <xf numFmtId="171" fontId="17" fillId="0" borderId="10" applyNumberFormat="0"/>
    <xf numFmtId="10" fontId="35" fillId="56" borderId="10" applyNumberFormat="0" applyBorder="0" applyAlignment="0" applyProtection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109" fillId="0" borderId="26" applyNumberFormat="0" applyFill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80" fillId="51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109" fillId="0" borderId="26" applyNumberFormat="0" applyFill="0" applyAlignment="0" applyProtection="0">
      <alignment vertical="center"/>
    </xf>
    <xf numFmtId="0" fontId="35" fillId="53" borderId="10"/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79" fillId="0" borderId="26" applyNumberFormat="0" applyFill="0" applyAlignment="0" applyProtection="0">
      <alignment vertical="center"/>
    </xf>
    <xf numFmtId="171" fontId="17" fillId="0" borderId="10" applyNumberFormat="0"/>
    <xf numFmtId="171" fontId="17" fillId="0" borderId="10" applyNumberFormat="0"/>
    <xf numFmtId="0" fontId="112" fillId="51" borderId="23" applyNumberFormat="0" applyAlignment="0" applyProtection="0">
      <alignment vertical="center"/>
    </xf>
    <xf numFmtId="0" fontId="55" fillId="0" borderId="10">
      <alignment horizontal="center"/>
    </xf>
    <xf numFmtId="0" fontId="45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96" fontId="88" fillId="0" borderId="10" applyBorder="0"/>
    <xf numFmtId="196" fontId="86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112" fillId="51" borderId="23" applyNumberForma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60" fillId="58" borderId="22" applyNumberFormat="0" applyFon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111" fillId="38" borderId="11" applyNumberForma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96" fillId="58" borderId="22" applyNumberFormat="0" applyFon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10" applyNumberFormat="0"/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7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>
      <alignment vertical="center"/>
    </xf>
    <xf numFmtId="3" fontId="95" fillId="0" borderId="10" applyFont="0" applyAlignment="0">
      <alignment horizontal="righ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10" fontId="35" fillId="56" borderId="10" applyNumberFormat="0" applyBorder="0" applyAlignment="0" applyProtection="0"/>
    <xf numFmtId="0" fontId="96" fillId="58" borderId="22" applyNumberFormat="0" applyFont="0" applyAlignment="0" applyProtection="0">
      <alignment vertical="center"/>
    </xf>
    <xf numFmtId="10" fontId="35" fillId="56" borderId="10" applyNumberFormat="0" applyBorder="0" applyAlignment="0" applyProtection="0"/>
    <xf numFmtId="171" fontId="17" fillId="0" borderId="10" applyNumberFormat="0"/>
    <xf numFmtId="0" fontId="35" fillId="53" borderId="10"/>
    <xf numFmtId="0" fontId="35" fillId="54" borderId="10"/>
    <xf numFmtId="171" fontId="17" fillId="0" borderId="10" applyNumberFormat="0"/>
    <xf numFmtId="0" fontId="35" fillId="53" borderId="10"/>
    <xf numFmtId="0" fontId="160" fillId="58" borderId="22" applyNumberFormat="0" applyFont="0" applyAlignment="0" applyProtection="0">
      <alignment vertical="center"/>
    </xf>
    <xf numFmtId="171" fontId="17" fillId="0" borderId="10" applyNumberFormat="0"/>
    <xf numFmtId="171" fontId="17" fillId="0" borderId="10" applyNumberFormat="0"/>
    <xf numFmtId="0" fontId="35" fillId="0" borderId="10" applyNumberFormat="0" applyFill="0" applyBorder="0">
      <alignment horizontal="left" vertical="top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8" fillId="0" borderId="16">
      <alignment horizontal="left" vertical="center"/>
    </xf>
    <xf numFmtId="0" fontId="180" fillId="0" borderId="26" applyNumberFormat="0" applyFill="0" applyAlignment="0" applyProtection="0">
      <alignment vertical="center"/>
    </xf>
    <xf numFmtId="0" fontId="55" fillId="0" borderId="10">
      <alignment horizontal="center"/>
    </xf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17" fillId="0" borderId="10" applyNumberFormat="0"/>
    <xf numFmtId="0" fontId="38" fillId="0" borderId="16">
      <alignment horizontal="left"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37" fontId="95" fillId="0" borderId="10" applyFont="0" applyAlignment="0">
      <alignment horizontal="right" vertical="center"/>
    </xf>
    <xf numFmtId="0" fontId="178" fillId="0" borderId="20" applyNumberFormat="0" applyFill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0" fontId="160" fillId="58" borderId="22" applyNumberFormat="0" applyFont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55" fillId="0" borderId="10">
      <alignment horizontal="center"/>
    </xf>
    <xf numFmtId="0" fontId="35" fillId="53" borderId="10"/>
    <xf numFmtId="0" fontId="45" fillId="58" borderId="22" applyNumberFormat="0" applyFont="0" applyAlignment="0" applyProtection="0">
      <alignment vertical="center"/>
    </xf>
    <xf numFmtId="0" fontId="38" fillId="0" borderId="16">
      <alignment horizontal="left" vertical="center"/>
    </xf>
    <xf numFmtId="0" fontId="96" fillId="58" borderId="22" applyNumberFormat="0" applyFont="0" applyAlignment="0" applyProtection="0">
      <alignment vertical="center"/>
    </xf>
    <xf numFmtId="0" fontId="35" fillId="54" borderId="10"/>
    <xf numFmtId="0" fontId="112" fillId="51" borderId="23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35" fillId="53" borderId="10"/>
    <xf numFmtId="37" fontId="95" fillId="0" borderId="10" applyFont="0" applyAlignment="0">
      <alignment horizontal="right" vertical="center"/>
    </xf>
    <xf numFmtId="0" fontId="82" fillId="51" borderId="23" applyNumberFormat="0" applyAlignment="0" applyProtection="0">
      <alignment vertical="center"/>
    </xf>
    <xf numFmtId="0" fontId="181" fillId="51" borderId="11" applyNumberFormat="0" applyAlignment="0" applyProtection="0">
      <alignment vertical="center"/>
    </xf>
    <xf numFmtId="171" fontId="17" fillId="0" borderId="10" applyNumberFormat="0"/>
    <xf numFmtId="0" fontId="50" fillId="1" borderId="16" applyNumberFormat="0" applyFont="0" applyAlignment="0">
      <alignment horizontal="center"/>
    </xf>
    <xf numFmtId="0" fontId="110" fillId="51" borderId="11" applyNumberFormat="0" applyAlignment="0" applyProtection="0">
      <alignment vertic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55" fillId="0" borderId="10">
      <alignment horizontal="center"/>
    </xf>
    <xf numFmtId="0" fontId="167" fillId="38" borderId="11" applyNumberFormat="0" applyAlignment="0" applyProtection="0">
      <alignment vertical="center"/>
    </xf>
    <xf numFmtId="0" fontId="55" fillId="0" borderId="10">
      <alignment horizontal="center"/>
    </xf>
    <xf numFmtId="0" fontId="160" fillId="58" borderId="22" applyNumberFormat="0" applyFon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0" fontId="50" fillId="1" borderId="16" applyNumberFormat="0" applyFont="0" applyAlignment="0">
      <alignment horizontal="center"/>
    </xf>
    <xf numFmtId="0" fontId="160" fillId="58" borderId="22" applyNumberFormat="0" applyFon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17" fillId="0" borderId="10" applyNumberFormat="0"/>
    <xf numFmtId="171" fontId="17" fillId="0" borderId="10" applyNumberFormat="0"/>
    <xf numFmtId="0" fontId="35" fillId="53" borderId="10"/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09" fillId="0" borderId="26" applyNumberFormat="0" applyFill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5" fillId="54" borderId="10"/>
    <xf numFmtId="0" fontId="160" fillId="58" borderId="22" applyNumberFormat="0" applyFont="0" applyAlignment="0" applyProtection="0">
      <alignment vertical="center"/>
    </xf>
    <xf numFmtId="0" fontId="55" fillId="0" borderId="10">
      <alignment horizontal="center"/>
    </xf>
    <xf numFmtId="0" fontId="181" fillId="51" borderId="11" applyNumberFormat="0" applyAlignment="0" applyProtection="0">
      <alignment vertical="center"/>
    </xf>
    <xf numFmtId="0" fontId="45" fillId="58" borderId="22" applyNumberFormat="0" applyFont="0" applyAlignment="0" applyProtection="0">
      <alignment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3" fontId="95" fillId="0" borderId="10" applyFont="0" applyAlignment="0">
      <alignment horizontal="right" vertical="center"/>
    </xf>
    <xf numFmtId="0" fontId="38" fillId="0" borderId="38">
      <alignment horizontal="left" vertical="center"/>
    </xf>
    <xf numFmtId="0" fontId="50" fillId="1" borderId="38" applyNumberFormat="0" applyFont="0" applyAlignment="0">
      <alignment horizontal="center"/>
    </xf>
    <xf numFmtId="0" fontId="96" fillId="58" borderId="22" applyNumberFormat="0" applyFont="0" applyAlignment="0" applyProtection="0">
      <alignment vertical="center"/>
    </xf>
    <xf numFmtId="37" fontId="95" fillId="0" borderId="10" applyFont="0" applyAlignment="0">
      <alignment horizontal="right" vertical="center"/>
    </xf>
    <xf numFmtId="0" fontId="50" fillId="1" borderId="16" applyNumberFormat="0" applyFont="0" applyAlignment="0">
      <alignment horizontal="center"/>
    </xf>
    <xf numFmtId="0" fontId="50" fillId="1" borderId="16" applyNumberFormat="0" applyFont="0" applyAlignment="0">
      <alignment horizontal="center"/>
    </xf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71" fontId="17" fillId="0" borderId="10" applyNumberFormat="0"/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35" fillId="53" borderId="10"/>
    <xf numFmtId="0" fontId="35" fillId="54" borderId="10"/>
    <xf numFmtId="0" fontId="112" fillId="51" borderId="23" applyNumberFormat="0" applyAlignment="0" applyProtection="0">
      <alignment vertical="center"/>
    </xf>
    <xf numFmtId="0" fontId="110" fillId="51" borderId="11" applyNumberFormat="0" applyAlignment="0" applyProtection="0">
      <alignment vertical="center"/>
    </xf>
    <xf numFmtId="0" fontId="82" fillId="51" borderId="23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8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0" fontId="82" fillId="51" borderId="23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171" fontId="17" fillId="0" borderId="10" applyNumberFormat="0"/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68" fillId="51" borderId="23" applyNumberFormat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12" fillId="51" borderId="23" applyNumberFormat="0" applyAlignment="0" applyProtection="0">
      <alignment vertical="center"/>
    </xf>
    <xf numFmtId="10" fontId="35" fillId="56" borderId="10" applyNumberFormat="0" applyBorder="0" applyAlignment="0" applyProtection="0"/>
    <xf numFmtId="0" fontId="112" fillId="51" borderId="23" applyNumberFormat="0" applyAlignment="0" applyProtection="0">
      <alignment vertical="center"/>
    </xf>
    <xf numFmtId="0" fontId="55" fillId="0" borderId="10">
      <alignment horizontal="center"/>
    </xf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55" fillId="0" borderId="10">
      <alignment horizont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4" fillId="0" borderId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5" fillId="53" borderId="10"/>
    <xf numFmtId="10" fontId="35" fillId="56" borderId="10" applyNumberFormat="0" applyBorder="0" applyAlignment="0" applyProtection="0"/>
    <xf numFmtId="0" fontId="35" fillId="54" borderId="10"/>
    <xf numFmtId="0" fontId="55" fillId="0" borderId="1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5" fillId="53" borderId="10"/>
    <xf numFmtId="0" fontId="38" fillId="0" borderId="38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38" applyNumberFormat="0" applyFont="0" applyAlignment="0">
      <alignment horizontal="center"/>
    </xf>
    <xf numFmtId="0" fontId="55" fillId="0" borderId="10">
      <alignment horizont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07" fillId="0" borderId="20" applyNumberFormat="0" applyFill="0" applyAlignment="0" applyProtection="0">
      <alignment vertical="center"/>
    </xf>
    <xf numFmtId="171" fontId="17" fillId="0" borderId="10" applyNumberFormat="0"/>
    <xf numFmtId="0" fontId="27" fillId="0" borderId="13" applyNumberFormat="0" applyFill="0" applyProtection="0">
      <alignment horizontal="center"/>
    </xf>
    <xf numFmtId="0" fontId="107" fillId="0" borderId="20" applyNumberFormat="0" applyFill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17" fillId="0" borderId="0" applyFont="0" applyFill="0" applyBorder="0" applyAlignment="0" applyProtection="0"/>
    <xf numFmtId="0" fontId="77" fillId="0" borderId="20" applyNumberFormat="0" applyFill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2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10" applyNumberFormat="0"/>
    <xf numFmtId="170" fontId="3" fillId="0" borderId="0" applyFont="0" applyFill="0" applyBorder="0" applyAlignment="0" applyProtection="0">
      <alignment vertical="center"/>
    </xf>
    <xf numFmtId="172" fontId="17" fillId="0" borderId="0" applyFont="0" applyFill="0" applyBorder="0" applyAlignment="0" applyProtection="0"/>
    <xf numFmtId="171" fontId="2" fillId="0" borderId="0" applyFont="0" applyFill="0" applyBorder="0" applyAlignment="0" applyProtection="0">
      <alignment vertical="center"/>
    </xf>
    <xf numFmtId="171" fontId="6" fillId="0" borderId="0" applyFont="0" applyFill="0" applyBorder="0" applyAlignment="0" applyProtection="0"/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0" fontId="178" fillId="0" borderId="20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13" applyNumberFormat="0" applyFill="0" applyProtection="0">
      <alignment horizont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17" fillId="0" borderId="10" applyNumberFormat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17" fillId="0" borderId="10" applyNumberFormat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0" fontId="37" fillId="0" borderId="13" applyNumberFormat="0" applyFill="0" applyBorder="0" applyAlignment="0" applyProtection="0"/>
    <xf numFmtId="0" fontId="26" fillId="0" borderId="13" applyNumberFormat="0" applyFill="0" applyBorder="0" applyAlignment="0" applyProtection="0"/>
    <xf numFmtId="0" fontId="154" fillId="0" borderId="13" applyNumberFormat="0" applyFill="0" applyBorder="0" applyAlignment="0" applyProtection="0"/>
    <xf numFmtId="0" fontId="84" fillId="0" borderId="13" applyNumberFormat="0" applyFill="0" applyBorder="0"/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17" fillId="0" borderId="0" applyFont="0" applyFill="0" applyBorder="0" applyAlignment="0" applyProtection="0"/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7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38" fillId="0" borderId="16">
      <alignment horizontal="left" vertical="center"/>
    </xf>
    <xf numFmtId="171" fontId="17" fillId="0" borderId="0" applyFont="0" applyFill="0" applyBorder="0" applyAlignment="0" applyProtection="0"/>
    <xf numFmtId="0" fontId="55" fillId="0" borderId="10">
      <alignment horizontal="center"/>
    </xf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96" fillId="58" borderId="22" applyNumberFormat="0" applyFont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107" fillId="0" borderId="20" applyNumberFormat="0" applyFill="0" applyAlignment="0" applyProtection="0">
      <alignment vertic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27" fillId="0" borderId="37" applyNumberFormat="0" applyFill="0" applyProtection="0">
      <alignment horizont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219" fontId="23" fillId="0" borderId="0" applyFont="0" applyFill="0" applyBorder="0" applyAlignment="0" applyProtection="0"/>
    <xf numFmtId="220" fontId="2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1" fillId="38" borderId="11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9" fillId="0" borderId="26" applyNumberFormat="0" applyFill="0" applyAlignment="0" applyProtection="0">
      <alignment vertical="center"/>
    </xf>
    <xf numFmtId="0" fontId="80" fillId="51" borderId="11" applyNumberFormat="0" applyAlignment="0" applyProtection="0">
      <alignment vertical="center"/>
    </xf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111" fillId="38" borderId="11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10" fillId="51" borderId="11" applyNumberFormat="0" applyAlignment="0" applyProtection="0">
      <alignment vertical="center"/>
    </xf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171" fontId="115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2" fontId="3" fillId="0" borderId="0" applyFont="0" applyFill="0" applyBorder="0" applyAlignment="0" applyProtection="0">
      <alignment vertical="center"/>
    </xf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171" fontId="89" fillId="0" borderId="0" applyFont="0" applyFill="0" applyBorder="0" applyAlignment="0" applyProtection="0"/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0" applyFont="0" applyFill="0" applyBorder="0" applyAlignment="0" applyProtection="0"/>
    <xf numFmtId="0" fontId="82" fillId="51" borderId="23" applyNumberFormat="0" applyAlignment="0" applyProtection="0">
      <alignment vertical="center"/>
    </xf>
    <xf numFmtId="171" fontId="17" fillId="0" borderId="10" applyNumberFormat="0"/>
    <xf numFmtId="170" fontId="3" fillId="0" borderId="0" applyFont="0" applyFill="0" applyBorder="0" applyAlignment="0" applyProtection="0">
      <alignment vertical="center"/>
    </xf>
    <xf numFmtId="172" fontId="17" fillId="0" borderId="0" applyFont="0" applyFill="0" applyBorder="0" applyAlignment="0" applyProtection="0"/>
    <xf numFmtId="171" fontId="2" fillId="0" borderId="0" applyFont="0" applyFill="0" applyBorder="0" applyAlignment="0" applyProtection="0">
      <alignment vertical="center"/>
    </xf>
    <xf numFmtId="171" fontId="6" fillId="0" borderId="0" applyFont="0" applyFill="0" applyBorder="0" applyAlignment="0" applyProtection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55" fillId="0" borderId="10">
      <alignment horizontal="center"/>
    </xf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0" fontId="39" fillId="0" borderId="28" applyNumberFormat="0" applyFill="0">
      <alignment horizontal="left"/>
    </xf>
    <xf numFmtId="196" fontId="88" fillId="0" borderId="10" applyBorder="0"/>
    <xf numFmtId="196" fontId="86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50" fillId="1" borderId="16" applyNumberFormat="0" applyFont="0" applyAlignment="0">
      <alignment horizontal="center"/>
    </xf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78" fillId="0" borderId="20" applyNumberFormat="0" applyFill="0" applyAlignment="0" applyProtection="0">
      <alignment vertic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7" fillId="0" borderId="37" applyNumberFormat="0" applyFill="0" applyProtection="0">
      <alignment horizont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1" fontId="17" fillId="0" borderId="10" applyNumberFormat="0"/>
    <xf numFmtId="37" fontId="95" fillId="0" borderId="10" applyFont="0" applyAlignment="0">
      <alignment horizontal="right" vertical="center"/>
    </xf>
    <xf numFmtId="3" fontId="95" fillId="0" borderId="10" applyFont="0" applyAlignment="0">
      <alignment horizontal="right" vertical="center"/>
    </xf>
    <xf numFmtId="0" fontId="35" fillId="53" borderId="10"/>
    <xf numFmtId="0" fontId="38" fillId="0" borderId="16">
      <alignment horizontal="left" vertical="center"/>
    </xf>
    <xf numFmtId="10" fontId="35" fillId="56" borderId="10" applyNumberFormat="0" applyBorder="0" applyAlignment="0" applyProtection="0"/>
    <xf numFmtId="0" fontId="35" fillId="54" borderId="10"/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171" fontId="17" fillId="0" borderId="10" applyNumberFormat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82" fillId="51" borderId="23" applyNumberFormat="0" applyAlignment="0" applyProtection="0">
      <alignment vertical="center"/>
    </xf>
    <xf numFmtId="171" fontId="17" fillId="0" borderId="10" applyNumberFormat="0"/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171" fontId="17" fillId="0" borderId="10" applyNumberFormat="0"/>
    <xf numFmtId="0" fontId="82" fillId="51" borderId="23" applyNumberFormat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5" fillId="0" borderId="10">
      <alignment horizontal="center"/>
    </xf>
    <xf numFmtId="0" fontId="55" fillId="0" borderId="10">
      <alignment horizont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171" fontId="17" fillId="0" borderId="10" applyNumberFormat="0"/>
    <xf numFmtId="171" fontId="8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4" fontId="4" fillId="0" borderId="0" applyFont="0" applyFill="0" applyBorder="0" applyAlignment="0" applyProtection="0">
      <alignment vertical="center"/>
    </xf>
    <xf numFmtId="0" fontId="55" fillId="0" borderId="10">
      <alignment horizontal="center"/>
    </xf>
    <xf numFmtId="196" fontId="88" fillId="0" borderId="10" applyBorder="0"/>
    <xf numFmtId="196" fontId="86" fillId="0" borderId="10"/>
    <xf numFmtId="3" fontId="8" fillId="54" borderId="10" applyNumberFormat="0" applyFill="0" applyBorder="0" applyAlignment="0" applyProtection="0"/>
    <xf numFmtId="0" fontId="35" fillId="0" borderId="10" applyNumberFormat="0" applyFill="0" applyBorder="0">
      <alignment horizontal="center" vertical="top" wrapText="1"/>
    </xf>
    <xf numFmtId="0" fontId="35" fillId="0" borderId="10" applyNumberFormat="0" applyFill="0" applyBorder="0">
      <alignment horizontal="left" vertical="top"/>
    </xf>
    <xf numFmtId="0" fontId="37" fillId="0" borderId="37" applyNumberFormat="0" applyFill="0" applyBorder="0" applyAlignment="0" applyProtection="0"/>
    <xf numFmtId="0" fontId="26" fillId="0" borderId="37" applyNumberFormat="0" applyFill="0" applyBorder="0" applyAlignment="0" applyProtection="0"/>
    <xf numFmtId="0" fontId="154" fillId="0" borderId="37" applyNumberFormat="0" applyFill="0" applyBorder="0" applyAlignment="0" applyProtection="0"/>
    <xf numFmtId="0" fontId="84" fillId="0" borderId="37" applyNumberFormat="0" applyFill="0" applyBorder="0"/>
    <xf numFmtId="171" fontId="125" fillId="0" borderId="0" applyFont="0" applyFill="0" applyBorder="0" applyAlignment="0" applyProtection="0">
      <alignment vertical="center"/>
    </xf>
    <xf numFmtId="171" fontId="125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0" applyFill="0" applyBorder="0" applyAlignment="0" applyProtection="0"/>
    <xf numFmtId="171" fontId="125" fillId="0" borderId="0" applyFont="0" applyFill="0" applyBorder="0" applyAlignment="0" applyProtection="0">
      <alignment vertical="center"/>
    </xf>
    <xf numFmtId="247" fontId="157" fillId="59" borderId="10" applyFont="0" applyFill="0" applyBorder="0" applyAlignment="0">
      <alignment horizontal="center"/>
    </xf>
    <xf numFmtId="0" fontId="180" fillId="0" borderId="26" applyNumberFormat="0" applyFill="0" applyAlignment="0" applyProtection="0">
      <alignment vertical="center"/>
    </xf>
    <xf numFmtId="0" fontId="181" fillId="51" borderId="11" applyNumberFormat="0" applyAlignment="0" applyProtection="0">
      <alignment vertical="center"/>
    </xf>
    <xf numFmtId="0" fontId="167" fillId="38" borderId="11" applyNumberFormat="0" applyAlignment="0" applyProtection="0">
      <alignment vertical="center"/>
    </xf>
    <xf numFmtId="0" fontId="168" fillId="51" borderId="23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8" fillId="0" borderId="0" applyNumberFormat="0" applyFill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1" fontId="17" fillId="0" borderId="0" applyFont="0" applyFill="0" applyBorder="0" applyAlignment="0" applyProtection="0"/>
    <xf numFmtId="171" fontId="17" fillId="0" borderId="10" applyNumberFormat="0"/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171" fontId="3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112" fillId="51" borderId="23" applyNumberFormat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17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>
      <alignment vertical="center"/>
    </xf>
    <xf numFmtId="171" fontId="3" fillId="0" borderId="0" applyFont="0" applyFill="0" applyBorder="0" applyAlignment="0" applyProtection="0"/>
    <xf numFmtId="171" fontId="17" fillId="0" borderId="10" applyNumberFormat="0"/>
    <xf numFmtId="171" fontId="1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1" fontId="4" fillId="0" borderId="0" applyFont="0" applyFill="0" applyBorder="0" applyAlignment="0" applyProtection="0">
      <alignment vertical="center"/>
    </xf>
    <xf numFmtId="174" fontId="4" fillId="0" borderId="0" applyFont="0" applyFill="0" applyBorder="0" applyAlignment="0" applyProtection="0">
      <alignment vertical="center"/>
    </xf>
    <xf numFmtId="0" fontId="111" fillId="38" borderId="11" applyNumberFormat="0" applyAlignment="0" applyProtection="0">
      <alignment vertical="center"/>
    </xf>
    <xf numFmtId="0" fontId="55" fillId="0" borderId="10">
      <alignment horizontal="center"/>
    </xf>
    <xf numFmtId="0" fontId="35" fillId="54" borderId="10"/>
    <xf numFmtId="10" fontId="35" fillId="56" borderId="10" applyNumberFormat="0" applyBorder="0" applyAlignment="0" applyProtection="0"/>
    <xf numFmtId="0" fontId="35" fillId="53" borderId="10"/>
    <xf numFmtId="0" fontId="112" fillId="51" borderId="23" applyNumberFormat="0" applyAlignment="0" applyProtection="0">
      <alignment vertical="center"/>
    </xf>
    <xf numFmtId="3" fontId="95" fillId="0" borderId="10" applyFont="0" applyAlignment="0">
      <alignment horizontal="right" vertical="center"/>
    </xf>
    <xf numFmtId="37" fontId="95" fillId="0" borderId="10" applyFont="0" applyAlignment="0">
      <alignment horizontal="right" vertical="center"/>
    </xf>
    <xf numFmtId="0" fontId="109" fillId="0" borderId="26" applyNumberFormat="0" applyFill="0" applyAlignment="0" applyProtection="0">
      <alignment vertical="center"/>
    </xf>
    <xf numFmtId="0" fontId="110" fillId="51" borderId="11" applyNumberFormat="0" applyAlignment="0" applyProtection="0">
      <alignment vertical="center"/>
    </xf>
    <xf numFmtId="171" fontId="17" fillId="0" borderId="10" applyNumberFormat="0"/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7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>
      <alignment vertical="center"/>
    </xf>
    <xf numFmtId="0" fontId="178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8" fillId="0" borderId="16">
      <alignment horizontal="left" vertical="center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0" fontId="42" fillId="0" borderId="17"/>
    <xf numFmtId="0" fontId="49" fillId="0" borderId="17">
      <alignment horizontal="center"/>
    </xf>
    <xf numFmtId="0" fontId="50" fillId="1" borderId="16" applyNumberFormat="0" applyFont="0" applyAlignment="0">
      <alignment horizontal="center"/>
    </xf>
    <xf numFmtId="0" fontId="49" fillId="0" borderId="17">
      <alignment horizontal="center"/>
    </xf>
    <xf numFmtId="0" fontId="42" fillId="0" borderId="17"/>
    <xf numFmtId="0" fontId="40" fillId="0" borderId="17">
      <alignment horizontal="center"/>
    </xf>
    <xf numFmtId="14" fontId="39" fillId="55" borderId="17">
      <alignment horizontal="center" vertical="center" wrapText="1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0" fontId="42" fillId="0" borderId="17"/>
    <xf numFmtId="0" fontId="49" fillId="0" borderId="17">
      <alignment horizontal="center"/>
    </xf>
    <xf numFmtId="0" fontId="49" fillId="0" borderId="17">
      <alignment horizontal="center"/>
    </xf>
    <xf numFmtId="0" fontId="42" fillId="0" borderId="17"/>
    <xf numFmtId="0" fontId="40" fillId="0" borderId="17">
      <alignment horizontal="center"/>
    </xf>
    <xf numFmtId="14" fontId="39" fillId="55" borderId="17">
      <alignment horizontal="center" vertical="center" wrapText="1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0" fontId="42" fillId="0" borderId="17"/>
    <xf numFmtId="0" fontId="49" fillId="0" borderId="17">
      <alignment horizontal="center"/>
    </xf>
    <xf numFmtId="14" fontId="39" fillId="55" borderId="17">
      <alignment horizontal="center" vertical="center" wrapText="1"/>
    </xf>
    <xf numFmtId="0" fontId="40" fillId="0" borderId="17">
      <alignment horizontal="center"/>
    </xf>
    <xf numFmtId="0" fontId="42" fillId="0" borderId="17"/>
    <xf numFmtId="0" fontId="49" fillId="0" borderId="17">
      <alignment horizontal="center"/>
    </xf>
    <xf numFmtId="0" fontId="49" fillId="0" borderId="17">
      <alignment horizontal="center"/>
    </xf>
    <xf numFmtId="0" fontId="42" fillId="0" borderId="17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38" fillId="0" borderId="16">
      <alignment horizontal="left" vertical="center"/>
    </xf>
    <xf numFmtId="0" fontId="49" fillId="0" borderId="17">
      <alignment horizontal="center"/>
    </xf>
    <xf numFmtId="0" fontId="42" fillId="0" borderId="17"/>
    <xf numFmtId="0" fontId="40" fillId="0" borderId="17">
      <alignment horizontal="center"/>
    </xf>
    <xf numFmtId="14" fontId="39" fillId="55" borderId="17">
      <alignment horizontal="center" vertical="center" wrapText="1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50" fillId="1" borderId="16" applyNumberFormat="0" applyFont="0" applyAlignment="0">
      <alignment horizont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38" fillId="0" borderId="16">
      <alignment horizontal="left" vertical="center"/>
    </xf>
    <xf numFmtId="0" fontId="50" fillId="1" borderId="16" applyNumberFormat="0" applyFont="0" applyAlignment="0">
      <alignment horizontal="center"/>
    </xf>
    <xf numFmtId="0" fontId="27" fillId="0" borderId="37" applyNumberFormat="0" applyFill="0" applyProtection="0">
      <alignment horizontal="center"/>
    </xf>
    <xf numFmtId="0" fontId="27" fillId="0" borderId="37" applyNumberFormat="0" applyFill="0" applyProtection="0">
      <alignment horizontal="center"/>
    </xf>
    <xf numFmtId="0" fontId="37" fillId="0" borderId="37" applyNumberFormat="0" applyFill="0" applyBorder="0" applyAlignment="0" applyProtection="0"/>
    <xf numFmtId="0" fontId="26" fillId="0" borderId="37" applyNumberFormat="0" applyFill="0" applyBorder="0" applyAlignment="0" applyProtection="0"/>
    <xf numFmtId="0" fontId="154" fillId="0" borderId="37" applyNumberFormat="0" applyFill="0" applyBorder="0" applyAlignment="0" applyProtection="0"/>
    <xf numFmtId="0" fontId="84" fillId="0" borderId="37" applyNumberFormat="0" applyFill="0" applyBorder="0"/>
    <xf numFmtId="0" fontId="39" fillId="0" borderId="39" applyNumberFormat="0" applyFill="0">
      <alignment horizontal="left"/>
    </xf>
  </cellStyleXfs>
  <cellXfs count="32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91" fillId="0" borderId="0" xfId="1" applyFont="1">
      <alignment vertical="center"/>
    </xf>
    <xf numFmtId="0" fontId="93" fillId="0" borderId="0" xfId="1" applyFont="1">
      <alignment vertical="center"/>
    </xf>
    <xf numFmtId="0" fontId="92" fillId="0" borderId="0" xfId="1" applyFont="1">
      <alignment vertical="center"/>
    </xf>
    <xf numFmtId="0" fontId="91" fillId="0" borderId="0" xfId="1" quotePrefix="1" applyFont="1">
      <alignment vertical="center"/>
    </xf>
    <xf numFmtId="0" fontId="85" fillId="0" borderId="0" xfId="1" quotePrefix="1" applyFont="1">
      <alignment vertical="center"/>
    </xf>
    <xf numFmtId="0" fontId="6" fillId="0" borderId="0" xfId="1" applyFont="1" applyAlignment="1"/>
    <xf numFmtId="43" fontId="92" fillId="0" borderId="37" xfId="3755" applyFont="1" applyFill="1" applyBorder="1">
      <alignment vertical="center"/>
    </xf>
    <xf numFmtId="0" fontId="3" fillId="0" borderId="0" xfId="3754">
      <alignment vertical="center"/>
    </xf>
    <xf numFmtId="0" fontId="5" fillId="0" borderId="0" xfId="3754" applyFont="1" applyAlignment="1">
      <alignment horizontal="center" vertical="center"/>
    </xf>
    <xf numFmtId="0" fontId="91" fillId="0" borderId="0" xfId="3754" applyFont="1">
      <alignment vertical="center"/>
    </xf>
    <xf numFmtId="0" fontId="92" fillId="0" borderId="0" xfId="3754" applyFont="1" applyAlignment="1">
      <alignment horizontal="center" vertical="center"/>
    </xf>
    <xf numFmtId="43" fontId="92" fillId="0" borderId="0" xfId="3755" applyFont="1" applyFill="1" applyBorder="1">
      <alignment vertical="center"/>
    </xf>
    <xf numFmtId="43" fontId="92" fillId="0" borderId="29" xfId="3755" applyFont="1" applyFill="1" applyBorder="1">
      <alignment vertical="center"/>
    </xf>
    <xf numFmtId="43" fontId="92" fillId="0" borderId="30" xfId="3755" applyFont="1" applyFill="1" applyBorder="1">
      <alignment vertical="center"/>
    </xf>
    <xf numFmtId="43" fontId="92" fillId="0" borderId="31" xfId="3755" applyFont="1" applyFill="1" applyBorder="1">
      <alignment vertical="center"/>
    </xf>
    <xf numFmtId="43" fontId="92" fillId="0" borderId="32" xfId="3755" applyFont="1" applyFill="1" applyBorder="1">
      <alignment vertical="center"/>
    </xf>
    <xf numFmtId="43" fontId="91" fillId="0" borderId="30" xfId="3755" applyFont="1" applyFill="1" applyBorder="1">
      <alignment vertical="center"/>
    </xf>
    <xf numFmtId="0" fontId="92" fillId="0" borderId="0" xfId="3754" applyFont="1">
      <alignment vertical="center"/>
    </xf>
    <xf numFmtId="43" fontId="92" fillId="0" borderId="33" xfId="3755" applyFont="1" applyFill="1" applyBorder="1">
      <alignment vertical="center"/>
    </xf>
    <xf numFmtId="43" fontId="92" fillId="0" borderId="34" xfId="3755" applyFont="1" applyFill="1" applyBorder="1">
      <alignment vertical="center"/>
    </xf>
    <xf numFmtId="43" fontId="91" fillId="0" borderId="32" xfId="3754" applyNumberFormat="1" applyFont="1" applyBorder="1">
      <alignment vertical="center"/>
    </xf>
    <xf numFmtId="43" fontId="6" fillId="0" borderId="0" xfId="3755" applyFont="1" applyFill="1">
      <alignment vertical="center"/>
    </xf>
    <xf numFmtId="43" fontId="91" fillId="0" borderId="0" xfId="3754" applyNumberFormat="1" applyFont="1">
      <alignment vertical="center"/>
    </xf>
    <xf numFmtId="43" fontId="91" fillId="0" borderId="33" xfId="3755" applyFont="1" applyFill="1" applyBorder="1">
      <alignment vertical="center"/>
    </xf>
    <xf numFmtId="43" fontId="91" fillId="0" borderId="0" xfId="3755" applyFont="1" applyFill="1">
      <alignment vertical="center"/>
    </xf>
    <xf numFmtId="43" fontId="91" fillId="0" borderId="0" xfId="3755" applyFont="1" applyFill="1" applyBorder="1">
      <alignment vertical="center"/>
    </xf>
    <xf numFmtId="49" fontId="5" fillId="0" borderId="0" xfId="3754" applyNumberFormat="1" applyFont="1" applyAlignment="1">
      <alignment horizontal="center" vertical="center"/>
    </xf>
    <xf numFmtId="10" fontId="91" fillId="0" borderId="0" xfId="3756" applyNumberFormat="1" applyFont="1" applyFill="1" applyBorder="1">
      <alignment vertical="center"/>
    </xf>
  </cellXfs>
  <cellStyles count="3814">
    <cellStyle name="###，##0" xfId="2" xr:uid="{00000000-0005-0000-0000-000000000000}"/>
    <cellStyle name="###，##0 2" xfId="433" xr:uid="{00000000-0005-0000-0000-000001000000}"/>
    <cellStyle name="###，##0 2 2" xfId="682" xr:uid="{00000000-0005-0000-0000-000002000000}"/>
    <cellStyle name="###，##0 2 2 2" xfId="2730" xr:uid="{00000000-0005-0000-0000-000003000000}"/>
    <cellStyle name="###，##0 2 2 2 2" xfId="3527" xr:uid="{00000000-0005-0000-0000-000004000000}"/>
    <cellStyle name="###，##0 2 2 3" xfId="2816" xr:uid="{00000000-0005-0000-0000-000005000000}"/>
    <cellStyle name="###，##0 2 2 4" xfId="2572" xr:uid="{00000000-0005-0000-0000-000006000000}"/>
    <cellStyle name="###，##0 2 3" xfId="2376" xr:uid="{00000000-0005-0000-0000-000007000000}"/>
    <cellStyle name="###，##0 2 3 2" xfId="2989" xr:uid="{00000000-0005-0000-0000-000008000000}"/>
    <cellStyle name="###，##0 2 3 2 2" xfId="3639" xr:uid="{00000000-0005-0000-0000-000009000000}"/>
    <cellStyle name="###，##0 2 3 3" xfId="3141" xr:uid="{00000000-0005-0000-0000-00000A000000}"/>
    <cellStyle name="###，##0 2 3 4" xfId="3003" xr:uid="{00000000-0005-0000-0000-00000B000000}"/>
    <cellStyle name="###，##0 2 4" xfId="2619" xr:uid="{00000000-0005-0000-0000-00000C000000}"/>
    <cellStyle name="###，##0 2 4 2" xfId="3458" xr:uid="{00000000-0005-0000-0000-00000D000000}"/>
    <cellStyle name="###，##0 2 5" xfId="2972" xr:uid="{00000000-0005-0000-0000-00000E000000}"/>
    <cellStyle name="###，##0 2 6" xfId="2611" xr:uid="{00000000-0005-0000-0000-00000F000000}"/>
    <cellStyle name="###，##0 2 7" xfId="3281" xr:uid="{00000000-0005-0000-0000-000010000000}"/>
    <cellStyle name="###，##0 3" xfId="638" xr:uid="{00000000-0005-0000-0000-000011000000}"/>
    <cellStyle name="###，##0 3 2" xfId="774" xr:uid="{00000000-0005-0000-0000-000012000000}"/>
    <cellStyle name="###，##0 3 2 2" xfId="2515" xr:uid="{00000000-0005-0000-0000-000013000000}"/>
    <cellStyle name="###，##0 3 2 2 2" xfId="3107" xr:uid="{00000000-0005-0000-0000-000014000000}"/>
    <cellStyle name="###，##0 3 2 2 2 2" xfId="3741" xr:uid="{00000000-0005-0000-0000-000015000000}"/>
    <cellStyle name="###，##0 3 2 2 3" xfId="3236" xr:uid="{00000000-0005-0000-0000-000016000000}"/>
    <cellStyle name="###，##0 3 2 2 4" xfId="3166" xr:uid="{00000000-0005-0000-0000-000017000000}"/>
    <cellStyle name="###，##0 3 2 3" xfId="2785" xr:uid="{00000000-0005-0000-0000-000018000000}"/>
    <cellStyle name="###，##0 3 2 3 2" xfId="3572" xr:uid="{00000000-0005-0000-0000-000019000000}"/>
    <cellStyle name="###，##0 3 2 4" xfId="2811" xr:uid="{00000000-0005-0000-0000-00001A000000}"/>
    <cellStyle name="###，##0 3 2 5" xfId="2845" xr:uid="{00000000-0005-0000-0000-00001B000000}"/>
    <cellStyle name="###，##0 3 3" xfId="2426" xr:uid="{00000000-0005-0000-0000-00001C000000}"/>
    <cellStyle name="###，##0 3 3 2" xfId="3023" xr:uid="{00000000-0005-0000-0000-00001D000000}"/>
    <cellStyle name="###，##0 3 3 2 2" xfId="3665" xr:uid="{00000000-0005-0000-0000-00001E000000}"/>
    <cellStyle name="###，##0 3 3 3" xfId="2564" xr:uid="{00000000-0005-0000-0000-00001F000000}"/>
    <cellStyle name="###，##0 3 3 4" xfId="3147" xr:uid="{00000000-0005-0000-0000-000020000000}"/>
    <cellStyle name="###，##0 3 4" xfId="2700" xr:uid="{00000000-0005-0000-0000-000021000000}"/>
    <cellStyle name="###，##0 3 4 2" xfId="3500" xr:uid="{00000000-0005-0000-0000-000022000000}"/>
    <cellStyle name="###，##0 3 5" xfId="2584" xr:uid="{00000000-0005-0000-0000-000023000000}"/>
    <cellStyle name="###，##0 3 6" xfId="3254" xr:uid="{00000000-0005-0000-0000-000024000000}"/>
    <cellStyle name="###，##0 4" xfId="662" xr:uid="{00000000-0005-0000-0000-000025000000}"/>
    <cellStyle name="###，##0 4 2" xfId="2714" xr:uid="{00000000-0005-0000-0000-000026000000}"/>
    <cellStyle name="###，##0 4 2 2" xfId="3511" xr:uid="{00000000-0005-0000-0000-000027000000}"/>
    <cellStyle name="###，##0 4 3" xfId="2893" xr:uid="{00000000-0005-0000-0000-000028000000}"/>
    <cellStyle name="###，##0 4 4" xfId="2866" xr:uid="{00000000-0005-0000-0000-000029000000}"/>
    <cellStyle name="###，##0 5" xfId="784" xr:uid="{00000000-0005-0000-0000-00002A000000}"/>
    <cellStyle name="###，##0 5 2" xfId="2795" xr:uid="{00000000-0005-0000-0000-00002B000000}"/>
    <cellStyle name="###，##0 5 2 2" xfId="3582" xr:uid="{00000000-0005-0000-0000-00002C000000}"/>
    <cellStyle name="###，##0 5 3" xfId="2858" xr:uid="{00000000-0005-0000-0000-00002D000000}"/>
    <cellStyle name="###，##0 5 4" xfId="2844" xr:uid="{00000000-0005-0000-0000-00002E000000}"/>
    <cellStyle name="###，##0 6" xfId="818" xr:uid="{00000000-0005-0000-0000-00002F000000}"/>
    <cellStyle name="###，##0 6 2" xfId="2817" xr:uid="{00000000-0005-0000-0000-000030000000}"/>
    <cellStyle name="###，##0 6 2 2" xfId="3598" xr:uid="{00000000-0005-0000-0000-000031000000}"/>
    <cellStyle name="###，##0 6 3" xfId="2530" xr:uid="{00000000-0005-0000-0000-000032000000}"/>
    <cellStyle name="###，##0 6 4" xfId="3223" xr:uid="{00000000-0005-0000-0000-000033000000}"/>
    <cellStyle name="###，##0 7" xfId="3268" xr:uid="{00000000-0005-0000-0000-000034000000}"/>
    <cellStyle name="###，##0 8" xfId="366" xr:uid="{00000000-0005-0000-0000-000035000000}"/>
    <cellStyle name="#，##0" xfId="3" xr:uid="{00000000-0005-0000-0000-000036000000}"/>
    <cellStyle name="#，##0 2" xfId="434" xr:uid="{00000000-0005-0000-0000-000037000000}"/>
    <cellStyle name="#，##0 2 2" xfId="683" xr:uid="{00000000-0005-0000-0000-000038000000}"/>
    <cellStyle name="#，##0 2 2 2" xfId="2731" xr:uid="{00000000-0005-0000-0000-000039000000}"/>
    <cellStyle name="#，##0 2 2 2 2" xfId="3528" xr:uid="{00000000-0005-0000-0000-00003A000000}"/>
    <cellStyle name="#，##0 2 2 3" xfId="2873" xr:uid="{00000000-0005-0000-0000-00003B000000}"/>
    <cellStyle name="#，##0 2 2 4" xfId="3219" xr:uid="{00000000-0005-0000-0000-00003C000000}"/>
    <cellStyle name="#，##0 2 3" xfId="2377" xr:uid="{00000000-0005-0000-0000-00003D000000}"/>
    <cellStyle name="#，##0 2 3 2" xfId="2990" xr:uid="{00000000-0005-0000-0000-00003E000000}"/>
    <cellStyle name="#，##0 2 3 2 2" xfId="3640" xr:uid="{00000000-0005-0000-0000-00003F000000}"/>
    <cellStyle name="#，##0 2 3 3" xfId="3142" xr:uid="{00000000-0005-0000-0000-000040000000}"/>
    <cellStyle name="#，##0 2 3 4" xfId="2556" xr:uid="{00000000-0005-0000-0000-000041000000}"/>
    <cellStyle name="#，##0 2 4" xfId="2620" xr:uid="{00000000-0005-0000-0000-000042000000}"/>
    <cellStyle name="#，##0 2 4 2" xfId="3459" xr:uid="{00000000-0005-0000-0000-000043000000}"/>
    <cellStyle name="#，##0 2 5" xfId="2971" xr:uid="{00000000-0005-0000-0000-000044000000}"/>
    <cellStyle name="#，##0 2 6" xfId="3118" xr:uid="{00000000-0005-0000-0000-000045000000}"/>
    <cellStyle name="#，##0 2 7" xfId="3282" xr:uid="{00000000-0005-0000-0000-000046000000}"/>
    <cellStyle name="#，##0 3" xfId="637" xr:uid="{00000000-0005-0000-0000-000047000000}"/>
    <cellStyle name="#，##0 3 2" xfId="773" xr:uid="{00000000-0005-0000-0000-000048000000}"/>
    <cellStyle name="#，##0 3 2 2" xfId="2514" xr:uid="{00000000-0005-0000-0000-000049000000}"/>
    <cellStyle name="#，##0 3 2 2 2" xfId="3106" xr:uid="{00000000-0005-0000-0000-00004A000000}"/>
    <cellStyle name="#，##0 3 2 2 2 2" xfId="3740" xr:uid="{00000000-0005-0000-0000-00004B000000}"/>
    <cellStyle name="#，##0 3 2 2 3" xfId="3235" xr:uid="{00000000-0005-0000-0000-00004C000000}"/>
    <cellStyle name="#，##0 3 2 2 4" xfId="2617" xr:uid="{00000000-0005-0000-0000-00004D000000}"/>
    <cellStyle name="#，##0 3 2 3" xfId="2784" xr:uid="{00000000-0005-0000-0000-00004E000000}"/>
    <cellStyle name="#，##0 3 2 3 2" xfId="3571" xr:uid="{00000000-0005-0000-0000-00004F000000}"/>
    <cellStyle name="#，##0 3 2 4" xfId="2830" xr:uid="{00000000-0005-0000-0000-000050000000}"/>
    <cellStyle name="#，##0 3 2 5" xfId="2733" xr:uid="{00000000-0005-0000-0000-000051000000}"/>
    <cellStyle name="#，##0 3 3" xfId="2425" xr:uid="{00000000-0005-0000-0000-000052000000}"/>
    <cellStyle name="#，##0 3 3 2" xfId="3022" xr:uid="{00000000-0005-0000-0000-000053000000}"/>
    <cellStyle name="#，##0 3 3 2 2" xfId="3664" xr:uid="{00000000-0005-0000-0000-000054000000}"/>
    <cellStyle name="#，##0 3 3 3" xfId="2974" xr:uid="{00000000-0005-0000-0000-000055000000}"/>
    <cellStyle name="#，##0 3 3 4" xfId="2636" xr:uid="{00000000-0005-0000-0000-000056000000}"/>
    <cellStyle name="#，##0 3 4" xfId="2699" xr:uid="{00000000-0005-0000-0000-000057000000}"/>
    <cellStyle name="#，##0 3 4 2" xfId="3499" xr:uid="{00000000-0005-0000-0000-000058000000}"/>
    <cellStyle name="#，##0 3 5" xfId="2922" xr:uid="{00000000-0005-0000-0000-000059000000}"/>
    <cellStyle name="#，##0 3 6" xfId="2677" xr:uid="{00000000-0005-0000-0000-00005A000000}"/>
    <cellStyle name="#，##0 4" xfId="663" xr:uid="{00000000-0005-0000-0000-00005B000000}"/>
    <cellStyle name="#，##0 4 2" xfId="2715" xr:uid="{00000000-0005-0000-0000-00005C000000}"/>
    <cellStyle name="#，##0 4 2 2" xfId="3512" xr:uid="{00000000-0005-0000-0000-00005D000000}"/>
    <cellStyle name="#，##0 4 3" xfId="2876" xr:uid="{00000000-0005-0000-0000-00005E000000}"/>
    <cellStyle name="#，##0 4 4" xfId="2815" xr:uid="{00000000-0005-0000-0000-00005F000000}"/>
    <cellStyle name="#，##0 5" xfId="785" xr:uid="{00000000-0005-0000-0000-000060000000}"/>
    <cellStyle name="#，##0 5 2" xfId="2796" xr:uid="{00000000-0005-0000-0000-000061000000}"/>
    <cellStyle name="#，##0 5 2 2" xfId="3583" xr:uid="{00000000-0005-0000-0000-000062000000}"/>
    <cellStyle name="#，##0 5 3" xfId="2857" xr:uid="{00000000-0005-0000-0000-000063000000}"/>
    <cellStyle name="#，##0 5 4" xfId="2626" xr:uid="{00000000-0005-0000-0000-000064000000}"/>
    <cellStyle name="#，##0 6" xfId="819" xr:uid="{00000000-0005-0000-0000-000065000000}"/>
    <cellStyle name="#，##0 6 2" xfId="2818" xr:uid="{00000000-0005-0000-0000-000066000000}"/>
    <cellStyle name="#，##0 6 2 2" xfId="3599" xr:uid="{00000000-0005-0000-0000-000067000000}"/>
    <cellStyle name="#，##0 6 3" xfId="2745" xr:uid="{00000000-0005-0000-0000-000068000000}"/>
    <cellStyle name="#，##0 6 4" xfId="3253" xr:uid="{00000000-0005-0000-0000-000069000000}"/>
    <cellStyle name="#，##0 7" xfId="3269" xr:uid="{00000000-0005-0000-0000-00006A000000}"/>
    <cellStyle name="#，##0 8" xfId="367" xr:uid="{00000000-0005-0000-0000-00006B000000}"/>
    <cellStyle name="??" xfId="4" xr:uid="{00000000-0005-0000-0000-00006C000000}"/>
    <cellStyle name="?? [0]" xfId="5" xr:uid="{00000000-0005-0000-0000-00006D000000}"/>
    <cellStyle name="???_x000d_" xfId="6" xr:uid="{00000000-0005-0000-0000-00006E000000}"/>
    <cellStyle name="??????" xfId="7" xr:uid="{00000000-0005-0000-0000-00006F000000}"/>
    <cellStyle name="???[0]" xfId="851" xr:uid="{00000000-0005-0000-0000-000070000000}"/>
    <cellStyle name="??_0N-HANDLING " xfId="8" xr:uid="{00000000-0005-0000-0000-000071000000}"/>
    <cellStyle name="?鹎%U龡&amp;H齲_x0001__x0016_?_x0005__x0007__x0001__x0001_" xfId="9" xr:uid="{00000000-0005-0000-0000-000072000000}"/>
    <cellStyle name="?鹎%U龡&amp;H齲_x0001__x0016_?_x0005__x0007__x0001__x0001_ 2" xfId="353" xr:uid="{00000000-0005-0000-0000-000073000000}"/>
    <cellStyle name="?鹎%U龡&amp;H齲_x0001__x0016_?_x0005__x0007__x0001__x0001_ 2 2" xfId="581" xr:uid="{00000000-0005-0000-0000-000074000000}"/>
    <cellStyle name="?鹎%U龡&amp;H齲_x0001__x0016_?_x0005__x0007__x0001__x0001_ 3" xfId="497" xr:uid="{00000000-0005-0000-0000-000075000000}"/>
    <cellStyle name="?鹎%U龡&amp;H齲_x0001__x0016_?_x0005__x0007__x0001__x0001_ 3 2" xfId="742" xr:uid="{00000000-0005-0000-0000-000076000000}"/>
    <cellStyle name="?鹎%U龡&amp;H齲_x0001__x0016_?_x0005__x0007__x0001__x0001_ 3 2 2" xfId="2755" xr:uid="{00000000-0005-0000-0000-000077000000}"/>
    <cellStyle name="?鹎%U龡&amp;H齲_x0001__x0016_?_x0005__x0007__x0001__x0001_ 3 2 2 2" xfId="3545" xr:uid="{00000000-0005-0000-0000-000078000000}"/>
    <cellStyle name="?鹎%U龡&amp;H齲_x0001__x0016_?_x0005__x0007__x0001__x0001_ 3 2 3" xfId="3334" xr:uid="{00000000-0005-0000-0000-000079000000}"/>
    <cellStyle name="?鹎%U龡&amp;H齲_x0001__x0016_?_x0005__x0007__x0001__x0001_ 3 3" xfId="2650" xr:uid="{00000000-0005-0000-0000-00007A000000}"/>
    <cellStyle name="?鹎%U龡&amp;H齲_x0001__x0016_?_x0005__x0007__x0001__x0001_ 3 3 2" xfId="3476" xr:uid="{00000000-0005-0000-0000-00007B000000}"/>
    <cellStyle name="?鹎%U龡&amp;H齲_x0001__x0016_?_x0005__x0007__x0001__x0001_ 3 4" xfId="3294" xr:uid="{00000000-0005-0000-0000-00007C000000}"/>
    <cellStyle name="?鹎%U龡&amp;H齲_x0001__x0016_?_x0005__x0007__x0001__x0001_ 4" xfId="664" xr:uid="{00000000-0005-0000-0000-00007D000000}"/>
    <cellStyle name="?鹎%U龡&amp;H齲_x0001__x0016_?_x0005__x0007__x0001__x0001_ 4 2" xfId="2473" xr:uid="{00000000-0005-0000-0000-00007E000000}"/>
    <cellStyle name="?鹎%U龡&amp;H齲_x0001__x0016_?_x0005__x0007__x0001__x0001_ 4 2 2" xfId="3067" xr:uid="{00000000-0005-0000-0000-00007F000000}"/>
    <cellStyle name="?鹎%U龡&amp;H齲_x0001__x0016_?_x0005__x0007__x0001__x0001_ 4 2 2 2" xfId="3704" xr:uid="{00000000-0005-0000-0000-000080000000}"/>
    <cellStyle name="?鹎%U龡&amp;H齲_x0001__x0016_?_x0005__x0007__x0001__x0001_ 4 2 3" xfId="3411" xr:uid="{00000000-0005-0000-0000-000081000000}"/>
    <cellStyle name="?鹎%U龡&amp;H齲_x0001__x0016_?_x0005__x0007__x0001__x0001_ 4 3" xfId="2716" xr:uid="{00000000-0005-0000-0000-000082000000}"/>
    <cellStyle name="?鹎%U龡&amp;H齲_x0001__x0016_?_x0005__x0007__x0001__x0001_ 4 3 2" xfId="3513" xr:uid="{00000000-0005-0000-0000-000083000000}"/>
    <cellStyle name="?鹎%U龡&amp;H齲_x0001__x0016_?_x0005__x0007__x0001__x0001_ 4 4" xfId="3319" xr:uid="{00000000-0005-0000-0000-000084000000}"/>
    <cellStyle name="?鹎%U龡&amp;H齲_x0001__x0016_?_x0005__x0007__x0001__x0001_ 5" xfId="2532" xr:uid="{00000000-0005-0000-0000-000085000000}"/>
    <cellStyle name="?鹎%U龡&amp;H齲_x0001__x0016_?_x0005__x0007__x0001__x0001_ 5 2" xfId="3441" xr:uid="{00000000-0005-0000-0000-000086000000}"/>
    <cellStyle name="?鹎%U龡&amp;H齲_x0001__x0016_?_x0005__x0007__x0001__x0001_ 6" xfId="3270" xr:uid="{00000000-0005-0000-0000-000087000000}"/>
    <cellStyle name="?鹎%U龡&amp;H齲_x0001__x0016_?_x0005__x0007__x0001__x0001_ 7" xfId="368" xr:uid="{00000000-0005-0000-0000-000088000000}"/>
    <cellStyle name="@_text" xfId="10" xr:uid="{00000000-0005-0000-0000-000089000000}"/>
    <cellStyle name="_02-审计过录表(科研所）" xfId="11" xr:uid="{00000000-0005-0000-0000-00008A000000}"/>
    <cellStyle name="_04-05年制造费用" xfId="12" xr:uid="{00000000-0005-0000-0000-00008B000000}"/>
    <cellStyle name="_05底稿" xfId="13" xr:uid="{00000000-0005-0000-0000-00008C000000}"/>
    <cellStyle name="_06年9月--酒店+机关" xfId="14" xr:uid="{00000000-0005-0000-0000-00008D000000}"/>
    <cellStyle name="_06预审张掖底稿(刘)" xfId="15" xr:uid="{00000000-0005-0000-0000-00008E000000}"/>
    <cellStyle name="_12月22日按石油行业分类对比表" xfId="16" xr:uid="{00000000-0005-0000-0000-00008F000000}"/>
    <cellStyle name="_2005-3铝厂底稿" xfId="17" xr:uid="{00000000-0005-0000-0000-000090000000}"/>
    <cellStyle name="_2006年度决算财务管理报表(合并酒店)" xfId="18" xr:uid="{00000000-0005-0000-0000-000091000000}"/>
    <cellStyle name="_2006年度决算财务管理报表(合并酒店) 2" xfId="369" xr:uid="{00000000-0005-0000-0000-000092000000}"/>
    <cellStyle name="_2006年预审明细表" xfId="19" xr:uid="{00000000-0005-0000-0000-000093000000}"/>
    <cellStyle name="_2-常德底稿" xfId="20" xr:uid="{00000000-0005-0000-0000-000094000000}"/>
    <cellStyle name="_3-审计过录表2005(合并表）3.20" xfId="21" xr:uid="{00000000-0005-0000-0000-000095000000}"/>
    <cellStyle name="_3-审计过录表2006(合并表）" xfId="22" xr:uid="{00000000-0005-0000-0000-000096000000}"/>
    <cellStyle name="_5-设科所-审计过录表" xfId="23" xr:uid="{00000000-0005-0000-0000-000097000000}"/>
    <cellStyle name="_Bank Loan" xfId="24" xr:uid="{00000000-0005-0000-0000-000098000000}"/>
    <cellStyle name="_Book2" xfId="25" xr:uid="{00000000-0005-0000-0000-000099000000}"/>
    <cellStyle name="_Cash and cash equivalents Simon" xfId="26" xr:uid="{00000000-0005-0000-0000-00009A000000}"/>
    <cellStyle name="_ETB" xfId="27" xr:uid="{00000000-0005-0000-0000-00009B000000}"/>
    <cellStyle name="_Extended TB updated FS simon 1862007" xfId="28" xr:uid="{00000000-0005-0000-0000-00009C000000}"/>
    <cellStyle name="_FA+Intan昆山" xfId="29" xr:uid="{00000000-0005-0000-0000-00009D000000}"/>
    <cellStyle name="_FAR-YC" xfId="30" xr:uid="{00000000-0005-0000-0000-00009E000000}"/>
    <cellStyle name="_FAR-宜春市供水" xfId="31" xr:uid="{00000000-0005-0000-0000-00009F000000}"/>
    <cellStyle name="_FA彩珠" xfId="32" xr:uid="{00000000-0005-0000-0000-0000A0000000}"/>
    <cellStyle name="_Fixed assets 03-05" xfId="33" xr:uid="{00000000-0005-0000-0000-0000A1000000}"/>
    <cellStyle name="_Fixed assets1111" xfId="34" xr:uid="{00000000-0005-0000-0000-0000A2000000}"/>
    <cellStyle name="_flna外运底稿" xfId="35" xr:uid="{00000000-0005-0000-0000-0000A3000000}"/>
    <cellStyle name="_Holding wpf (020707)" xfId="36" xr:uid="{00000000-0005-0000-0000-0000A4000000}"/>
    <cellStyle name="_Holding wpf (290607)" xfId="37" xr:uid="{00000000-0005-0000-0000-0000A5000000}"/>
    <cellStyle name="_Holding wpf 0405 Johnson" xfId="38" xr:uid="{00000000-0005-0000-0000-0000A6000000}"/>
    <cellStyle name="_Holding wpf 07 Johnson" xfId="39" xr:uid="{00000000-0005-0000-0000-0000A7000000}"/>
    <cellStyle name="_Intragroup balances" xfId="40" xr:uid="{00000000-0005-0000-0000-0000A8000000}"/>
    <cellStyle name="_Inventories" xfId="41" xr:uid="{00000000-0005-0000-0000-0000A9000000}"/>
    <cellStyle name="_Inventories Steven" xfId="42" xr:uid="{00000000-0005-0000-0000-0000AA000000}"/>
    <cellStyle name="_Inventory" xfId="43" xr:uid="{00000000-0005-0000-0000-0000AB000000}"/>
    <cellStyle name="_Investments in sub" xfId="44" xr:uid="{00000000-0005-0000-0000-0000AC000000}"/>
    <cellStyle name="_Manuf. overhead - Payroll 07" xfId="45" xr:uid="{00000000-0005-0000-0000-0000AD000000}"/>
    <cellStyle name="_Mat" xfId="46" xr:uid="{00000000-0005-0000-0000-0000AE000000}"/>
    <cellStyle name="_Other payables" xfId="47" xr:uid="{00000000-0005-0000-0000-0000AF000000}"/>
    <cellStyle name="_Payroll" xfId="48" xr:uid="{00000000-0005-0000-0000-0000B0000000}"/>
    <cellStyle name="_Projection for private group (18 Jun)" xfId="49" xr:uid="{00000000-0005-0000-0000-0000B1000000}"/>
    <cellStyle name="_provison for bad debts - ok" xfId="50" xr:uid="{00000000-0005-0000-0000-0000B2000000}"/>
    <cellStyle name="_Reasonable test on manufacturing depreciation 07" xfId="51" xr:uid="{00000000-0005-0000-0000-0000B3000000}"/>
    <cellStyle name="_RR" xfId="52" xr:uid="{00000000-0005-0000-0000-0000B4000000}"/>
    <cellStyle name="_RR昆山" xfId="53" xr:uid="{00000000-0005-0000-0000-0000B5000000}"/>
    <cellStyle name="_Sales Commission 06" xfId="54" xr:uid="{00000000-0005-0000-0000-0000B6000000}"/>
    <cellStyle name="_Shareholders' equity45" xfId="55" xr:uid="{00000000-0005-0000-0000-0000B7000000}"/>
    <cellStyle name="_Sinotrans HK Holding_consol TB_2005 (20060420)" xfId="56" xr:uid="{00000000-0005-0000-0000-0000B8000000}"/>
    <cellStyle name="_Substantive test SImon FA" xfId="57" xr:uid="{00000000-0005-0000-0000-0000B9000000}"/>
    <cellStyle name="_Summary of misstatement" xfId="58" xr:uid="{00000000-0005-0000-0000-0000BA000000}"/>
    <cellStyle name="_Tax 04" xfId="59" xr:uid="{00000000-0005-0000-0000-0000BB000000}"/>
    <cellStyle name="_Tax 05" xfId="60" xr:uid="{00000000-0005-0000-0000-0000BC000000}"/>
    <cellStyle name="_Working-Holding-0405Ron" xfId="61" xr:uid="{00000000-0005-0000-0000-0000BD000000}"/>
    <cellStyle name="_Yichun wpf" xfId="62" xr:uid="{00000000-0005-0000-0000-0000BE000000}"/>
    <cellStyle name="_Yichun wpf 20070913" xfId="63" xr:uid="{00000000-0005-0000-0000-0000BF000000}"/>
    <cellStyle name="_上海酒店1" xfId="65" xr:uid="{00000000-0005-0000-0000-0000C2000000}"/>
    <cellStyle name="_上级拨入资金明细" xfId="66" xr:uid="{00000000-0005-0000-0000-0000C1000000}"/>
    <cellStyle name="_中力房地产底稿" xfId="71" xr:uid="{00000000-0005-0000-0000-0000C7000000}"/>
    <cellStyle name="_中铁行包武汉底稿" xfId="72" xr:uid="{00000000-0005-0000-0000-0000C8000000}"/>
    <cellStyle name="_二年一期关联销售采购明细表" xfId="64" xr:uid="{00000000-0005-0000-0000-0000C0000000}"/>
    <cellStyle name="_会计差错调整分录" xfId="78" xr:uid="{00000000-0005-0000-0000-0000CE000000}"/>
    <cellStyle name="_债权" xfId="113" xr:uid="{00000000-0005-0000-0000-0000E5000000}"/>
    <cellStyle name="_凡谷报表2006新" xfId="67" xr:uid="{00000000-0005-0000-0000-0000C3000000}"/>
    <cellStyle name="_哈密公司附件一：xx公司审计明细表(1)" xfId="91" xr:uid="{00000000-0005-0000-0000-0000E0000000}"/>
    <cellStyle name="_唐山底稿" xfId="94" xr:uid="{00000000-0005-0000-0000-0000E6000000}"/>
    <cellStyle name="_固定资产-new" xfId="85" xr:uid="{00000000-0005-0000-0000-0000D7000000}"/>
    <cellStyle name="_固定资产明细表上报" xfId="86" xr:uid="{00000000-0005-0000-0000-0000D8000000}"/>
    <cellStyle name="_坏账准备明细表-2004 12 31" xfId="80" xr:uid="{00000000-0005-0000-0000-0000D1000000}"/>
    <cellStyle name="_复件 12月22日按石油行业分类对比表" xfId="92" xr:uid="{00000000-0005-0000-0000-0000E1000000}"/>
    <cellStyle name="_外运2005模板黑龙江" xfId="74" xr:uid="{00000000-0005-0000-0000-0000CA000000}"/>
    <cellStyle name="_大连中铁快运有限公司审计底稿HMK" xfId="68" xr:uid="{00000000-0005-0000-0000-0000C4000000}"/>
    <cellStyle name="_大连分底稿" xfId="69" xr:uid="{00000000-0005-0000-0000-0000C5000000}"/>
    <cellStyle name="_天业底稿" xfId="73" xr:uid="{00000000-0005-0000-0000-0000C9000000}"/>
    <cellStyle name="_审计所需资料清单附件-07年6月30日.电子配件公司" xfId="114" xr:uid="{00000000-0005-0000-0000-0000D9000000}"/>
    <cellStyle name="_审计明细表-上海分" xfId="115" xr:uid="{00000000-0005-0000-0000-0000DA000000}"/>
    <cellStyle name="_山东空运底稿HMK" xfId="70" xr:uid="{00000000-0005-0000-0000-0000C6000000}"/>
    <cellStyle name="_常州中油年审底稿Lj" xfId="98" xr:uid="{00000000-0005-0000-0000-0000ED000000}"/>
    <cellStyle name="_常州公司折旧" xfId="99" xr:uid="{00000000-0005-0000-0000-0000EE000000}"/>
    <cellStyle name="_常州华油机关年审底稿HMK" xfId="100" xr:uid="{00000000-0005-0000-0000-0000EF000000}"/>
    <cellStyle name="_常州大酒店-bai" xfId="97" xr:uid="{00000000-0005-0000-0000-0000EC000000}"/>
    <cellStyle name="_常州酒店存货" xfId="101" xr:uid="{00000000-0005-0000-0000-0000F0000000}"/>
    <cellStyle name="_常德华油05-10底稿" xfId="102" xr:uid="{00000000-0005-0000-0000-0000F1000000}"/>
    <cellStyle name="_底稿-CP" xfId="87" xr:uid="{00000000-0005-0000-0000-0000DB000000}"/>
    <cellStyle name="_建材院年审底稿HMK" xfId="93" xr:uid="{00000000-0005-0000-0000-0000E2000000}"/>
    <cellStyle name="_张掖公司审1" xfId="116" xr:uid="{00000000-0005-0000-0000-0000D2000000}"/>
    <cellStyle name="_張掖Extended TB" xfId="103" xr:uid="{00000000-0005-0000-0000-0000F2000000}"/>
    <cellStyle name="_張掖底稿" xfId="104" xr:uid="{00000000-0005-0000-0000-0000F3000000}"/>
    <cellStyle name="_报表06年-9月份" xfId="81" xr:uid="{00000000-0005-0000-0000-0000D3000000}"/>
    <cellStyle name="_新政策对折旧影响计算表" xfId="110" xr:uid="{00000000-0005-0000-0000-0000FA000000}"/>
    <cellStyle name="_新疆20070630working 182007" xfId="111" xr:uid="{00000000-0005-0000-0000-0000FB000000}"/>
    <cellStyle name="_新绍辰州锑业公司" xfId="112" xr:uid="{00000000-0005-0000-0000-0000F9000000}"/>
    <cellStyle name="_最新关联方交易 (合并层次)" xfId="107" xr:uid="{00000000-0005-0000-0000-0000F6000000}"/>
    <cellStyle name="_本部底稿-HZ " xfId="75" xr:uid="{00000000-0005-0000-0000-0000CB000000}"/>
    <cellStyle name="_机关年审底稿ZK-HMK" xfId="79" xr:uid="{00000000-0005-0000-0000-0000CF000000}"/>
    <cellStyle name="_桂林底稿" xfId="95" xr:uid="{00000000-0005-0000-0000-0000E7000000}"/>
    <cellStyle name="_母公司TB" xfId="76" xr:uid="{00000000-0005-0000-0000-0000CC000000}"/>
    <cellStyle name="_母公司---YY" xfId="77" xr:uid="{00000000-0005-0000-0000-0000CD000000}"/>
    <cellStyle name="_深圳分底稿-调好格式" xfId="105" xr:uid="{00000000-0005-0000-0000-0000F4000000}"/>
    <cellStyle name="_深圳空运底稿HMK打印稿" xfId="106" xr:uid="{00000000-0005-0000-0000-0000F5000000}"/>
    <cellStyle name="_湖南久凌底稿-pass" xfId="108" xr:uid="{00000000-0005-0000-0000-0000F7000000}"/>
    <cellStyle name="_结算中心-07年6月30日" xfId="117" xr:uid="{00000000-0005-0000-0000-0000E3000000}"/>
    <cellStyle name="_联交所Q" xfId="109" xr:uid="{00000000-0005-0000-0000-0000F8000000}"/>
    <cellStyle name="_补充资料-上海分(缺客户往来)" xfId="88" xr:uid="{00000000-0005-0000-0000-0000DC000000}"/>
    <cellStyle name="_货币资金" xfId="118" xr:uid="{00000000-0005-0000-0000-0000DD000000}"/>
    <cellStyle name="_贷款明细表" xfId="119" xr:uid="{00000000-0005-0000-0000-0000E4000000}"/>
    <cellStyle name="_资产底稿" xfId="120" xr:uid="{00000000-0005-0000-0000-0000E8000000}"/>
    <cellStyle name="_辰州本部底稿2006.10WLC" xfId="82" xr:uid="{00000000-0005-0000-0000-0000D4000000}"/>
    <cellStyle name="_辰州本部底稿2006.12WLC" xfId="83" xr:uid="{00000000-0005-0000-0000-0000D5000000}"/>
    <cellStyle name="_辰州矿业本部HMK" xfId="84" xr:uid="{00000000-0005-0000-0000-0000D6000000}"/>
    <cellStyle name="_辽河内控HMK" xfId="121" xr:uid="{00000000-0005-0000-0000-0000D0000000}"/>
    <cellStyle name="_酒店税金附加" xfId="96" xr:uid="{00000000-0005-0000-0000-0000E9000000}"/>
    <cellStyle name="_附件一：母公司审计明细表" xfId="89" xr:uid="{00000000-0005-0000-0000-0000DE000000}"/>
    <cellStyle name="_附注－WLC审计部分" xfId="90" xr:uid="{00000000-0005-0000-0000-0000DF000000}"/>
    <cellStyle name="_预审小结附件2006" xfId="122" xr:uid="{00000000-0005-0000-0000-0000EA000000}"/>
    <cellStyle name="_预审计底稿－大鹏" xfId="123" xr:uid="{00000000-0005-0000-0000-0000EB000000}"/>
    <cellStyle name="{Comma [0]}" xfId="124" xr:uid="{00000000-0005-0000-0000-0000FC000000}"/>
    <cellStyle name="{Comma}" xfId="125" xr:uid="{00000000-0005-0000-0000-0000FD000000}"/>
    <cellStyle name="{Date}" xfId="126" xr:uid="{00000000-0005-0000-0000-0000FE000000}"/>
    <cellStyle name="{Month}" xfId="127" xr:uid="{00000000-0005-0000-0000-0000FF000000}"/>
    <cellStyle name="{Percent}" xfId="128" xr:uid="{00000000-0005-0000-0000-000000010000}"/>
    <cellStyle name="{Thousand [0]}" xfId="129" xr:uid="{00000000-0005-0000-0000-000001010000}"/>
    <cellStyle name="{Thousand}" xfId="130" xr:uid="{00000000-0005-0000-0000-000002010000}"/>
    <cellStyle name="{Z'0000(1 dec)}" xfId="131" xr:uid="{00000000-0005-0000-0000-000003010000}"/>
    <cellStyle name="{Z'0000(4 dec)}" xfId="132" xr:uid="{00000000-0005-0000-0000-000004010000}"/>
    <cellStyle name="´Þ·¯" xfId="852" xr:uid="{00000000-0005-0000-0000-000005010000}"/>
    <cellStyle name="¤d¤À¦ì [0]" xfId="853" xr:uid="{00000000-0005-0000-0000-000006010000}"/>
    <cellStyle name="¤d¤À¦ì_cmdinput" xfId="854" xr:uid="{00000000-0005-0000-0000-000007010000}"/>
    <cellStyle name="¥Vn¥VC¥Vp[¥V¥A¥V¡°¥VN" xfId="855" xr:uid="{00000000-0005-0000-0000-000008010000}"/>
    <cellStyle name="°íÁ¤¼Ò¼ýÁ¡" xfId="856" xr:uid="{00000000-0005-0000-0000-000009010000}"/>
    <cellStyle name="°íÁ¤Ãâ·Â1" xfId="857" xr:uid="{00000000-0005-0000-0000-00000A010000}"/>
    <cellStyle name="°íÁ¤Ãâ·Â2" xfId="858" xr:uid="{00000000-0005-0000-0000-00000B010000}"/>
    <cellStyle name="¶W³sµ²" xfId="133" xr:uid="{00000000-0005-0000-0000-00000C010000}"/>
    <cellStyle name="¶W³sµ² 2" xfId="859" xr:uid="{00000000-0005-0000-0000-00000D010000}"/>
    <cellStyle name="0" xfId="860" xr:uid="{00000000-0005-0000-0000-00000E010000}"/>
    <cellStyle name="0%" xfId="134" xr:uid="{00000000-0005-0000-0000-00000F010000}"/>
    <cellStyle name="0% 2" xfId="370" xr:uid="{00000000-0005-0000-0000-000010010000}"/>
    <cellStyle name="0,0_x000d__x000a_NA_x000d__x000a_" xfId="135" xr:uid="{00000000-0005-0000-0000-000011010000}"/>
    <cellStyle name="0,0_x000d__x000a_NA_x000d__x000a_ 2" xfId="861" xr:uid="{00000000-0005-0000-0000-000012010000}"/>
    <cellStyle name="0.0%" xfId="136" xr:uid="{00000000-0005-0000-0000-000013010000}"/>
    <cellStyle name="0.00%" xfId="137" xr:uid="{00000000-0005-0000-0000-000014010000}"/>
    <cellStyle name="0_!!!GO" xfId="862" xr:uid="{00000000-0005-0000-0000-000015010000}"/>
    <cellStyle name="0_!!!GO_(3)Grand US workings December 2005" xfId="863" xr:uid="{00000000-0005-0000-0000-000016010000}"/>
    <cellStyle name="0_!!!GO_(3)Grand US workings December 2005_Book1" xfId="864" xr:uid="{00000000-0005-0000-0000-000017010000}"/>
    <cellStyle name="0_!!!GO_(3)Grand US workings December 2005_Consolidation_2006_Summary (v2) (1)" xfId="865" xr:uid="{00000000-0005-0000-0000-000018010000}"/>
    <cellStyle name="0_!!!GO_(3)Grand US workings December 2005_Consolidation_2006_Summary (v3)" xfId="866" xr:uid="{00000000-0005-0000-0000-000019010000}"/>
    <cellStyle name="0_!!!GO_(3)Grand US workings December 2005_Consolidation_2006_Summary audit" xfId="867" xr:uid="{00000000-0005-0000-0000-00001A010000}"/>
    <cellStyle name="0_!!!GO_(3)Grand US workings December 2005_Consolidation_2006_Summary auditBS &amp; PL" xfId="868" xr:uid="{00000000-0005-0000-0000-00001B010000}"/>
    <cellStyle name="0_!!!GO_(3)Grand US workings December 2005_DeferredTaxLiabilitiesOnFixedAssets" xfId="869" xr:uid="{00000000-0005-0000-0000-00001C010000}"/>
    <cellStyle name="0_!!!GO_(3)Grand US workings December 2005_Management accounts 2006(UPDATED)" xfId="870" xr:uid="{00000000-0005-0000-0000-00001D010000}"/>
    <cellStyle name="0_!!!GO_10Q JULY  2004 " xfId="871" xr:uid="{00000000-0005-0000-0000-00001E010000}"/>
    <cellStyle name="0_!!!GO_10Q JULY  2004 _Book1" xfId="872" xr:uid="{00000000-0005-0000-0000-00001F010000}"/>
    <cellStyle name="0_!!!GO_10Q JULY  2004 _Consolidation_2006_Summary (v2) (1)" xfId="873" xr:uid="{00000000-0005-0000-0000-000020010000}"/>
    <cellStyle name="0_!!!GO_10Q JULY  2004 _Consolidation_2006_Summary (v3)" xfId="874" xr:uid="{00000000-0005-0000-0000-000021010000}"/>
    <cellStyle name="0_!!!GO_10Q JULY  2004 _Consolidation_2006_Summary audit" xfId="875" xr:uid="{00000000-0005-0000-0000-000022010000}"/>
    <cellStyle name="0_!!!GO_10Q JULY  2004 _Consolidation_2006_Summary auditBS &amp; PL" xfId="876" xr:uid="{00000000-0005-0000-0000-000023010000}"/>
    <cellStyle name="0_!!!GO_10Q JULY  2004 _DeferredTaxLiabilitiesOnFixedAssets" xfId="877" xr:uid="{00000000-0005-0000-0000-000024010000}"/>
    <cellStyle name="0_!!!GO_10Q JULY  2004 _Management accounts 2006(UPDATED)" xfId="878" xr:uid="{00000000-0005-0000-0000-000025010000}"/>
    <cellStyle name="0_!!!GO_10Q MAR 2004" xfId="879" xr:uid="{00000000-0005-0000-0000-000026010000}"/>
    <cellStyle name="0_!!!GO_10Q MAR 2004_A2PLAYWELLWorkings to notes to 6-k Dec 051" xfId="880" xr:uid="{00000000-0005-0000-0000-000027010000}"/>
    <cellStyle name="0_!!!GO_10Q MAR 2004_Book1" xfId="881" xr:uid="{00000000-0005-0000-0000-000028010000}"/>
    <cellStyle name="0_!!!GO_10Q MAR 2004_cashflow05K01" xfId="882" xr:uid="{00000000-0005-0000-0000-000029010000}"/>
    <cellStyle name="0_!!!GO_10Q MAR 2004_Consolidation_2006_Summary (v2) (1)" xfId="883" xr:uid="{00000000-0005-0000-0000-00002A010000}"/>
    <cellStyle name="0_!!!GO_10Q MAR 2004_Consolidation_2006_Summary (v3)" xfId="884" xr:uid="{00000000-0005-0000-0000-00002B010000}"/>
    <cellStyle name="0_!!!GO_10Q MAR 2004_Consolidation_2006_Summary audit" xfId="885" xr:uid="{00000000-0005-0000-0000-00002C010000}"/>
    <cellStyle name="0_!!!GO_10Q MAR 2004_Consolidation_2006_Summary auditBS &amp; PL" xfId="886" xr:uid="{00000000-0005-0000-0000-00002D010000}"/>
    <cellStyle name="0_!!!GO_10Q MAR 2004_DeferredTaxLiabilitiesOnFixedAssets" xfId="887" xr:uid="{00000000-0005-0000-0000-00002E010000}"/>
    <cellStyle name="0_!!!GO_10Q MAR 2004_FA2005schedule" xfId="888" xr:uid="{00000000-0005-0000-0000-00002F010000}"/>
    <cellStyle name="0_!!!GO_10Q MAR 2004_HUAYANGv5(revised by dy)  wORKINGS TO nOITE DEC 3104" xfId="889" xr:uid="{00000000-0005-0000-0000-000030010000}"/>
    <cellStyle name="0_!!!GO_10Q MAR 2004_HUAYANGWorkings to notes to 6-k FY2005-Consol" xfId="890" xr:uid="{00000000-0005-0000-0000-000031010000}"/>
    <cellStyle name="0_!!!GO_10Q MAR 2004_KD(5) Workings to notes to 6-k 2005_v17.3.06" xfId="891" xr:uid="{00000000-0005-0000-0000-000032010000}"/>
    <cellStyle name="0_!!!GO_10Q MAR 2004_KORD Workings to notes to 6-k 2005_v17.3.06" xfId="892" xr:uid="{00000000-0005-0000-0000-000033010000}"/>
    <cellStyle name="0_!!!GO_10Q MAR 2004_Management accounts 2006(UPDATED)" xfId="893" xr:uid="{00000000-0005-0000-0000-000034010000}"/>
    <cellStyle name="0_!!!GO_10Q MAR 2004_NOTES TO CASH" xfId="894" xr:uid="{00000000-0005-0000-0000-000035010000}"/>
    <cellStyle name="0_!!!GO_10Q MAR 2004_October 2005BLANK(PLAYWELL)Workings to notes to 6-k Sept05" xfId="895" xr:uid="{00000000-0005-0000-0000-000036010000}"/>
    <cellStyle name="0_!!!GO_10Q MAR 2004_PIL RPT movements" xfId="896" xr:uid="{00000000-0005-0000-0000-000037010000}"/>
    <cellStyle name="0_!!!GO_10Q MAR 2004_PLAYWELL Workings to notes to 6-k Dec 05" xfId="897" xr:uid="{00000000-0005-0000-0000-000038010000}"/>
    <cellStyle name="0_!!!GO_10Q MAR 2004_PLAYWELL Workings to notes to 6-k June04" xfId="898" xr:uid="{00000000-0005-0000-0000-000039010000}"/>
    <cellStyle name="0_!!!GO_10Q MAR 2004_Sheet2" xfId="899" xr:uid="{00000000-0005-0000-0000-00003A010000}"/>
    <cellStyle name="0_!!!GO_10Q MAR 2004_Sheet3" xfId="900" xr:uid="{00000000-0005-0000-0000-00003B010000}"/>
    <cellStyle name="0_!!!GO_10Q MAR 2004_Sheet4" xfId="901" xr:uid="{00000000-0005-0000-0000-00003C010000}"/>
    <cellStyle name="0_!!!GO_10Q MAR 2004_Top Lines (AC)" xfId="902" xr:uid="{00000000-0005-0000-0000-00003D010000}"/>
    <cellStyle name="0_!!!GO_10Q MAR 2004_V10Workings to notes to 6-k June05 (2)" xfId="903" xr:uid="{00000000-0005-0000-0000-00003E010000}"/>
    <cellStyle name="0_!!!GO_10Q MAR 2004_V2BLANK(PLAYWELL)Workings to notes to 6-k June05" xfId="904" xr:uid="{00000000-0005-0000-0000-00003F010000}"/>
    <cellStyle name="0_!!!GO_10Q MAR 2004_V2October 19 05Workings to notes to 6-k Sept05" xfId="905" xr:uid="{00000000-0005-0000-0000-000040010000}"/>
    <cellStyle name="0_!!!GO_10Q MAR 2004_v3march1705KORD Workings to notes to 6-k 2004_v17.3.06" xfId="906" xr:uid="{00000000-0005-0000-0000-000041010000}"/>
    <cellStyle name="0_!!!GO_10Q MAR 2004_Workings to notes to 6-k FY2005-Consol-V3" xfId="907" xr:uid="{00000000-0005-0000-0000-000042010000}"/>
    <cellStyle name="0_!!!GO_10Q MAR 2004_Workings to notes to 6-k FY2005-Consol-V37" xfId="908" xr:uid="{00000000-0005-0000-0000-000043010000}"/>
    <cellStyle name="0_!!!GO_10Q MAR 2004_Workings to notes to 6-k FY2005-Consol-V37(Final)" xfId="909" xr:uid="{00000000-0005-0000-0000-000044010000}"/>
    <cellStyle name="0_!!!GO_10Q MAR 2004_Workings to notes to 6-k FY2005-Consol-V8" xfId="910" xr:uid="{00000000-0005-0000-0000-000045010000}"/>
    <cellStyle name="0_!!!GO_10QDEC2004 v3" xfId="911" xr:uid="{00000000-0005-0000-0000-000046010000}"/>
    <cellStyle name="0_!!!GO_10QDEC2004 v3_(3)Grand US workings December 2005" xfId="912" xr:uid="{00000000-0005-0000-0000-000047010000}"/>
    <cellStyle name="0_!!!GO_10QDEC2004 v3_(3)Grand US workings December 2005_Book1" xfId="913" xr:uid="{00000000-0005-0000-0000-000048010000}"/>
    <cellStyle name="0_!!!GO_10QDEC2004 v3_(3)Grand US workings December 2005_Consolidation_2006_Summary (v2) (1)" xfId="914" xr:uid="{00000000-0005-0000-0000-000049010000}"/>
    <cellStyle name="0_!!!GO_10QDEC2004 v3_(3)Grand US workings December 2005_Consolidation_2006_Summary (v3)" xfId="915" xr:uid="{00000000-0005-0000-0000-00004A010000}"/>
    <cellStyle name="0_!!!GO_10QDEC2004 v3_(3)Grand US workings December 2005_Consolidation_2006_Summary audit" xfId="916" xr:uid="{00000000-0005-0000-0000-00004B010000}"/>
    <cellStyle name="0_!!!GO_10QDEC2004 v3_(3)Grand US workings December 2005_Consolidation_2006_Summary auditBS &amp; PL" xfId="917" xr:uid="{00000000-0005-0000-0000-00004C010000}"/>
    <cellStyle name="0_!!!GO_10QDEC2004 v3_(3)Grand US workings December 2005_DeferredTaxLiabilitiesOnFixedAssets" xfId="918" xr:uid="{00000000-0005-0000-0000-00004D010000}"/>
    <cellStyle name="0_!!!GO_10QDEC2004 v3_(3)Grand US workings December 2005_Management accounts 2006(UPDATED)" xfId="919" xr:uid="{00000000-0005-0000-0000-00004E010000}"/>
    <cellStyle name="0_!!!GO_10QDEC2004 v3_A2PLAYWELLWorkings to notes to 6-k Dec 051" xfId="920" xr:uid="{00000000-0005-0000-0000-00004F010000}"/>
    <cellStyle name="0_!!!GO_10QDEC2004 v3_BLANK(iNT pLAY))(2)Workings to notes to 6-k September051" xfId="921" xr:uid="{00000000-0005-0000-0000-000050010000}"/>
    <cellStyle name="0_!!!GO_10QDEC2004 v3_BLANK(iNT pLAY))Workings to notes to 6-k June05" xfId="922" xr:uid="{00000000-0005-0000-0000-000051010000}"/>
    <cellStyle name="0_!!!GO_10QDEC2004 v3_Book1" xfId="923" xr:uid="{00000000-0005-0000-0000-000052010000}"/>
    <cellStyle name="0_!!!GO_10QDEC2004 v3_cashflow05K01" xfId="924" xr:uid="{00000000-0005-0000-0000-000053010000}"/>
    <cellStyle name="0_!!!GO_10QDEC2004 v3_consolidation entries 2004" xfId="925" xr:uid="{00000000-0005-0000-0000-000054010000}"/>
    <cellStyle name="0_!!!GO_10QDEC2004 v3_consolidation entries 2004_Consolidation_2006_Summary (v2) (1)" xfId="926" xr:uid="{00000000-0005-0000-0000-000055010000}"/>
    <cellStyle name="0_!!!GO_10QDEC2004 v3_consolidation entries 2004_Consolidation_2006_Summary (v3)" xfId="927" xr:uid="{00000000-0005-0000-0000-000056010000}"/>
    <cellStyle name="0_!!!GO_10QDEC2004 v3_consolidation entries 2004_Consolidation_2006_Summary audit" xfId="928" xr:uid="{00000000-0005-0000-0000-000057010000}"/>
    <cellStyle name="0_!!!GO_10QDEC2004 v3_consolidation entries 2004_Consolidation_2006_Summary auditBS &amp; PL" xfId="929" xr:uid="{00000000-0005-0000-0000-000058010000}"/>
    <cellStyle name="0_!!!GO_10QDEC2004 v3_consolidation entries 2004_Management accounts 2006(UPDATED)" xfId="930" xr:uid="{00000000-0005-0000-0000-000059010000}"/>
    <cellStyle name="0_!!!GO_10QDEC2004 v3_corporate tax entry allocation" xfId="931" xr:uid="{00000000-0005-0000-0000-00005A010000}"/>
    <cellStyle name="0_!!!GO_10QDEC2004 v3_credit risk note" xfId="932" xr:uid="{00000000-0005-0000-0000-00005B010000}"/>
    <cellStyle name="0_!!!GO_10QDEC2004 v3_DeferredTaxLiabilitiesOnFixedAssets" xfId="933" xr:uid="{00000000-0005-0000-0000-00005C010000}"/>
    <cellStyle name="0_!!!GO_10QDEC2004 v3_Detailed Conso july 2005" xfId="934" xr:uid="{00000000-0005-0000-0000-00005D010000}"/>
    <cellStyle name="0_!!!GO_10QDEC2004 v3_Detailed Conso july 2005_Book1" xfId="935" xr:uid="{00000000-0005-0000-0000-00005E010000}"/>
    <cellStyle name="0_!!!GO_10QDEC2004 v3_Detailed Conso july 2005_Consolidation_2006_Summary (v2) (1)" xfId="936" xr:uid="{00000000-0005-0000-0000-00005F010000}"/>
    <cellStyle name="0_!!!GO_10QDEC2004 v3_Detailed Conso july 2005_Consolidation_2006_Summary (v3)" xfId="937" xr:uid="{00000000-0005-0000-0000-000060010000}"/>
    <cellStyle name="0_!!!GO_10QDEC2004 v3_Detailed Conso july 2005_Consolidation_2006_Summary audit" xfId="938" xr:uid="{00000000-0005-0000-0000-000061010000}"/>
    <cellStyle name="0_!!!GO_10QDEC2004 v3_Detailed Conso july 2005_Consolidation_2006_Summary auditBS &amp; PL" xfId="939" xr:uid="{00000000-0005-0000-0000-000062010000}"/>
    <cellStyle name="0_!!!GO_10QDEC2004 v3_Detailed Conso july 2005_DeferredTaxLiabilitiesOnFixedAssets" xfId="940" xr:uid="{00000000-0005-0000-0000-000063010000}"/>
    <cellStyle name="0_!!!GO_10QDEC2004 v3_Detailed Conso july 2005_Management accounts 2006(UPDATED)" xfId="941" xr:uid="{00000000-0005-0000-0000-000064010000}"/>
    <cellStyle name="0_!!!GO_10QDEC2004 v3_FA2005schedule" xfId="942" xr:uid="{00000000-0005-0000-0000-000065010000}"/>
    <cellStyle name="0_!!!GO_10QDEC2004 v3_Grand US workings December 2005" xfId="943" xr:uid="{00000000-0005-0000-0000-000066010000}"/>
    <cellStyle name="0_!!!GO_10QDEC2004 v3_Grand US workings December 2005_Book1" xfId="944" xr:uid="{00000000-0005-0000-0000-000067010000}"/>
    <cellStyle name="0_!!!GO_10QDEC2004 v3_Grand US workings December 2005_Consolidation_2006_Summary (v2) (1)" xfId="945" xr:uid="{00000000-0005-0000-0000-000068010000}"/>
    <cellStyle name="0_!!!GO_10QDEC2004 v3_Grand US workings December 2005_Consolidation_2006_Summary (v3)" xfId="946" xr:uid="{00000000-0005-0000-0000-000069010000}"/>
    <cellStyle name="0_!!!GO_10QDEC2004 v3_Grand US workings December 2005_Consolidation_2006_Summary audit" xfId="947" xr:uid="{00000000-0005-0000-0000-00006A010000}"/>
    <cellStyle name="0_!!!GO_10QDEC2004 v3_Grand US workings December 2005_Consolidation_2006_Summary auditBS &amp; PL" xfId="948" xr:uid="{00000000-0005-0000-0000-00006B010000}"/>
    <cellStyle name="0_!!!GO_10QDEC2004 v3_Grand US workings December 2005_DeferredTaxLiabilitiesOnFixedAssets" xfId="949" xr:uid="{00000000-0005-0000-0000-00006C010000}"/>
    <cellStyle name="0_!!!GO_10QDEC2004 v3_Grand US workings December 2005_Management accounts 2006(UPDATED)" xfId="950" xr:uid="{00000000-0005-0000-0000-00006D010000}"/>
    <cellStyle name="0_!!!GO_10QDEC2004 v3_Grand US workings June2005" xfId="951" xr:uid="{00000000-0005-0000-0000-00006E010000}"/>
    <cellStyle name="0_!!!GO_10QDEC2004 v3_Grand US workings June2005_Book1" xfId="952" xr:uid="{00000000-0005-0000-0000-00006F010000}"/>
    <cellStyle name="0_!!!GO_10QDEC2004 v3_Grand US workings June2005_Consolidation_2006_Summary (v2) (1)" xfId="953" xr:uid="{00000000-0005-0000-0000-000070010000}"/>
    <cellStyle name="0_!!!GO_10QDEC2004 v3_Grand US workings June2005_Consolidation_2006_Summary (v3)" xfId="954" xr:uid="{00000000-0005-0000-0000-000071010000}"/>
    <cellStyle name="0_!!!GO_10QDEC2004 v3_Grand US workings June2005_Consolidation_2006_Summary audit" xfId="955" xr:uid="{00000000-0005-0000-0000-000072010000}"/>
    <cellStyle name="0_!!!GO_10QDEC2004 v3_Grand US workings June2005_Consolidation_2006_Summary auditBS &amp; PL" xfId="956" xr:uid="{00000000-0005-0000-0000-000073010000}"/>
    <cellStyle name="0_!!!GO_10QDEC2004 v3_Grand US workings June2005_DeferredTaxLiabilitiesOnFixedAssets" xfId="957" xr:uid="{00000000-0005-0000-0000-000074010000}"/>
    <cellStyle name="0_!!!GO_10QDEC2004 v3_Grand US workings June2005_Management accounts 2006(UPDATED)" xfId="958" xr:uid="{00000000-0005-0000-0000-000075010000}"/>
    <cellStyle name="0_!!!GO_10QDEC2004 v3_Grand US workings June2005_V10Workings to notes to 6-k June05 (2)" xfId="959" xr:uid="{00000000-0005-0000-0000-000076010000}"/>
    <cellStyle name="0_!!!GO_10QDEC2004 v3_HUAYANGv5(revised by dy)  wORKINGS TO nOITE DEC 3104" xfId="960" xr:uid="{00000000-0005-0000-0000-000077010000}"/>
    <cellStyle name="0_!!!GO_10QDEC2004 v3_HUAYANGWorkings to notes to 6-k FY2005-Consol" xfId="961" xr:uid="{00000000-0005-0000-0000-000078010000}"/>
    <cellStyle name="0_!!!GO_10QDEC2004 v3_Inventory  AR March 31 2005" xfId="962" xr:uid="{00000000-0005-0000-0000-000079010000}"/>
    <cellStyle name="0_!!!GO_10QDEC2004 v3_KD(5) Workings to notes to 6-k 2005_v17.3.06" xfId="963" xr:uid="{00000000-0005-0000-0000-00007A010000}"/>
    <cellStyle name="0_!!!GO_10QDEC2004 v3_KORD Workings to notes to 6-k 2005_v17.3.06" xfId="964" xr:uid="{00000000-0005-0000-0000-00007B010000}"/>
    <cellStyle name="0_!!!GO_10QDEC2004 v3_NOTES TO CASH" xfId="965" xr:uid="{00000000-0005-0000-0000-00007C010000}"/>
    <cellStyle name="0_!!!GO_10QDEC2004 v3_October 2005BLANK(PLAYWELL)Workings to notes to 6-k Sept05" xfId="966" xr:uid="{00000000-0005-0000-0000-00007D010000}"/>
    <cellStyle name="0_!!!GO_10QDEC2004 v3_OPTIONS  RECAPjune10,2005updated" xfId="967" xr:uid="{00000000-0005-0000-0000-00007E010000}"/>
    <cellStyle name="0_!!!GO_10QDEC2004 v3_PIL RPT movements" xfId="968" xr:uid="{00000000-0005-0000-0000-00007F010000}"/>
    <cellStyle name="0_!!!GO_10QDEC2004 v3_PLAYWELL Workings to notes to 6-k Dec 05" xfId="969" xr:uid="{00000000-0005-0000-0000-000080010000}"/>
    <cellStyle name="0_!!!GO_10QDEC2004 v3_PLAYWELL Workings to notes to 6-k June04" xfId="970" xr:uid="{00000000-0005-0000-0000-000081010000}"/>
    <cellStyle name="0_!!!GO_10QDEC2004 v3_Rpt, AGING, product lines" xfId="971" xr:uid="{00000000-0005-0000-0000-000082010000}"/>
    <cellStyle name="0_!!!GO_10QDEC2004 v3_Sheet2" xfId="972" xr:uid="{00000000-0005-0000-0000-000083010000}"/>
    <cellStyle name="0_!!!GO_10QDEC2004 v3_Sheet3" xfId="973" xr:uid="{00000000-0005-0000-0000-000084010000}"/>
    <cellStyle name="0_!!!GO_10QDEC2004 v3_Sheet4" xfId="974" xr:uid="{00000000-0005-0000-0000-000085010000}"/>
    <cellStyle name="0_!!!GO_10QDEC2004 v3_Top Lines (AC)" xfId="975" xr:uid="{00000000-0005-0000-0000-000086010000}"/>
    <cellStyle name="0_!!!GO_10QDEC2004 v3_V1 Dec 2005  1" xfId="976" xr:uid="{00000000-0005-0000-0000-000087010000}"/>
    <cellStyle name="0_!!!GO_10QDEC2004 v3_V1 July05 " xfId="977" xr:uid="{00000000-0005-0000-0000-000088010000}"/>
    <cellStyle name="0_!!!GO_10QDEC2004 v3_V10Workings to notes to 6-k June05 (2)" xfId="978" xr:uid="{00000000-0005-0000-0000-000089010000}"/>
    <cellStyle name="0_!!!GO_10QDEC2004 v3_V11workings to notes to 2004 inc HY and KD1" xfId="979" xr:uid="{00000000-0005-0000-0000-00008A010000}"/>
    <cellStyle name="0_!!!GO_10QDEC2004 v3_V11workings to notes to 2004 inc HY and KD1_Book1" xfId="980" xr:uid="{00000000-0005-0000-0000-00008B010000}"/>
    <cellStyle name="0_!!!GO_10QDEC2004 v3_V11workings to notes to 2004 inc HY and KD1_Consolidation_2006_Summary (v2) (1)" xfId="981" xr:uid="{00000000-0005-0000-0000-00008C010000}"/>
    <cellStyle name="0_!!!GO_10QDEC2004 v3_V11workings to notes to 2004 inc HY and KD1_Consolidation_2006_Summary (v3)" xfId="982" xr:uid="{00000000-0005-0000-0000-00008D010000}"/>
    <cellStyle name="0_!!!GO_10QDEC2004 v3_V11workings to notes to 2004 inc HY and KD1_Consolidation_2006_Summary audit" xfId="983" xr:uid="{00000000-0005-0000-0000-00008E010000}"/>
    <cellStyle name="0_!!!GO_10QDEC2004 v3_V11workings to notes to 2004 inc HY and KD1_Consolidation_2006_Summary auditBS &amp; PL" xfId="984" xr:uid="{00000000-0005-0000-0000-00008F010000}"/>
    <cellStyle name="0_!!!GO_10QDEC2004 v3_V11workings to notes to 2004 inc HY and KD1_DeferredTaxLiabilitiesOnFixedAssets" xfId="985" xr:uid="{00000000-0005-0000-0000-000090010000}"/>
    <cellStyle name="0_!!!GO_10QDEC2004 v3_V11workings to notes to 2004 inc HY and KD1_Management accounts 2006(UPDATED)" xfId="986" xr:uid="{00000000-0005-0000-0000-000091010000}"/>
    <cellStyle name="0_!!!GO_10QDEC2004 v3_V14 Dec 2005  1" xfId="987" xr:uid="{00000000-0005-0000-0000-000092010000}"/>
    <cellStyle name="0_!!!GO_10QDEC2004 v3_V18 Dec 2005 TC" xfId="988" xr:uid="{00000000-0005-0000-0000-000093010000}"/>
    <cellStyle name="0_!!!GO_10QDEC2004 v3_V29workings to notes to 2004 inc HY and KD1(1)" xfId="989" xr:uid="{00000000-0005-0000-0000-000094010000}"/>
    <cellStyle name="0_!!!GO_10QDEC2004 v3_V29workings to notes to 2004 inc HY and KD1(1)_Book1" xfId="990" xr:uid="{00000000-0005-0000-0000-000095010000}"/>
    <cellStyle name="0_!!!GO_10QDEC2004 v3_V29workings to notes to 2004 inc HY and KD1(1)_Consolidation_2006_Summary (v2) (1)" xfId="991" xr:uid="{00000000-0005-0000-0000-000096010000}"/>
    <cellStyle name="0_!!!GO_10QDEC2004 v3_V29workings to notes to 2004 inc HY and KD1(1)_Consolidation_2006_Summary (v3)" xfId="992" xr:uid="{00000000-0005-0000-0000-000097010000}"/>
    <cellStyle name="0_!!!GO_10QDEC2004 v3_V29workings to notes to 2004 inc HY and KD1(1)_Consolidation_2006_Summary audit" xfId="993" xr:uid="{00000000-0005-0000-0000-000098010000}"/>
    <cellStyle name="0_!!!GO_10QDEC2004 v3_V29workings to notes to 2004 inc HY and KD1(1)_Consolidation_2006_Summary auditBS &amp; PL" xfId="994" xr:uid="{00000000-0005-0000-0000-000099010000}"/>
    <cellStyle name="0_!!!GO_10QDEC2004 v3_V29workings to notes to 2004 inc HY and KD1(1)_DeferredTaxLiabilitiesOnFixedAssets" xfId="995" xr:uid="{00000000-0005-0000-0000-00009A010000}"/>
    <cellStyle name="0_!!!GO_10QDEC2004 v3_V29workings to notes to 2004 inc HY and KD1(1)_Management accounts 2006(UPDATED)" xfId="996" xr:uid="{00000000-0005-0000-0000-00009B010000}"/>
    <cellStyle name="0_!!!GO_10QDEC2004 v3_V2BLANK(PLAYWELL)Workings to notes to 6-k June05" xfId="997" xr:uid="{00000000-0005-0000-0000-00009C010000}"/>
    <cellStyle name="0_!!!GO_10QDEC2004 v3_V2Dec 2005  1" xfId="998" xr:uid="{00000000-0005-0000-0000-00009D010000}"/>
    <cellStyle name="0_!!!GO_10QDEC2004 v3_V2DSep2005 " xfId="999" xr:uid="{00000000-0005-0000-0000-00009E010000}"/>
    <cellStyle name="0_!!!GO_10QDEC2004 v3_V2FSep2005 tc" xfId="1000" xr:uid="{00000000-0005-0000-0000-00009F010000}"/>
    <cellStyle name="0_!!!GO_10QDEC2004 v3_V2ISep2005 " xfId="1001" xr:uid="{00000000-0005-0000-0000-0000A0010000}"/>
    <cellStyle name="0_!!!GO_10QDEC2004 v3_V2October 19 05Workings to notes to 6-k Sept05" xfId="1002" xr:uid="{00000000-0005-0000-0000-0000A1010000}"/>
    <cellStyle name="0_!!!GO_10QDEC2004 v3_V30workings to notes to 2004 inc HY and KD1(1)" xfId="1003" xr:uid="{00000000-0005-0000-0000-0000A2010000}"/>
    <cellStyle name="0_!!!GO_10QDEC2004 v3_V30workings to notes to 2004 inc HY and KD1(1)_Book1" xfId="1004" xr:uid="{00000000-0005-0000-0000-0000A3010000}"/>
    <cellStyle name="0_!!!GO_10QDEC2004 v3_V30workings to notes to 2004 inc HY and KD1(1)_Consolidation_2006_Summary (v2) (1)" xfId="1005" xr:uid="{00000000-0005-0000-0000-0000A4010000}"/>
    <cellStyle name="0_!!!GO_10QDEC2004 v3_V30workings to notes to 2004 inc HY and KD1(1)_Consolidation_2006_Summary (v3)" xfId="1006" xr:uid="{00000000-0005-0000-0000-0000A5010000}"/>
    <cellStyle name="0_!!!GO_10QDEC2004 v3_V30workings to notes to 2004 inc HY and KD1(1)_Consolidation_2006_Summary audit" xfId="1007" xr:uid="{00000000-0005-0000-0000-0000A6010000}"/>
    <cellStyle name="0_!!!GO_10QDEC2004 v3_V30workings to notes to 2004 inc HY and KD1(1)_Consolidation_2006_Summary auditBS &amp; PL" xfId="1008" xr:uid="{00000000-0005-0000-0000-0000A7010000}"/>
    <cellStyle name="0_!!!GO_10QDEC2004 v3_V30workings to notes to 2004 inc HY and KD1(1)_DeferredTaxLiabilitiesOnFixedAssets" xfId="1009" xr:uid="{00000000-0005-0000-0000-0000A8010000}"/>
    <cellStyle name="0_!!!GO_10QDEC2004 v3_V30workings to notes to 2004 inc HY and KD1(1)_Management accounts 2006(UPDATED)" xfId="1010" xr:uid="{00000000-0005-0000-0000-0000A9010000}"/>
    <cellStyle name="0_!!!GO_10QDEC2004 v3_V31 Dec 2005 " xfId="1011" xr:uid="{00000000-0005-0000-0000-0000AA010000}"/>
    <cellStyle name="0_!!!GO_10QDEC2004 v3_V31(2) Dec 2005 (2)" xfId="1012" xr:uid="{00000000-0005-0000-0000-0000AB010000}"/>
    <cellStyle name="0_!!!GO_10QDEC2004 v3_V32(2) (2004)" xfId="1013" xr:uid="{00000000-0005-0000-0000-0000AC010000}"/>
    <cellStyle name="0_!!!GO_10QDEC2004 v3_V32(2) (2004)_Consolidation_2006_Summary (v2) (1)" xfId="1014" xr:uid="{00000000-0005-0000-0000-0000AD010000}"/>
    <cellStyle name="0_!!!GO_10QDEC2004 v3_V32(2) (2004)_Consolidation_2006_Summary (v3)" xfId="1015" xr:uid="{00000000-0005-0000-0000-0000AE010000}"/>
    <cellStyle name="0_!!!GO_10QDEC2004 v3_V32(2) (2004)_Consolidation_2006_Summary audit" xfId="1016" xr:uid="{00000000-0005-0000-0000-0000AF010000}"/>
    <cellStyle name="0_!!!GO_10QDEC2004 v3_V32(2) (2004)_Consolidation_2006_Summary auditBS &amp; PL" xfId="1017" xr:uid="{00000000-0005-0000-0000-0000B0010000}"/>
    <cellStyle name="0_!!!GO_10QDEC2004 v3_V32(2) (2004)_Management accounts 2006(UPDATED)" xfId="1018" xr:uid="{00000000-0005-0000-0000-0000B1010000}"/>
    <cellStyle name="0_!!!GO_10QDEC2004 v3_V32(3) (2004)" xfId="1019" xr:uid="{00000000-0005-0000-0000-0000B2010000}"/>
    <cellStyle name="0_!!!GO_10QDEC2004 v3_V32(3) (2004)_Consolidation_2006_Summary (v2) (1)" xfId="1020" xr:uid="{00000000-0005-0000-0000-0000B3010000}"/>
    <cellStyle name="0_!!!GO_10QDEC2004 v3_V32(3) (2004)_Consolidation_2006_Summary (v3)" xfId="1021" xr:uid="{00000000-0005-0000-0000-0000B4010000}"/>
    <cellStyle name="0_!!!GO_10QDEC2004 v3_V32(3) (2004)_Consolidation_2006_Summary audit" xfId="1022" xr:uid="{00000000-0005-0000-0000-0000B5010000}"/>
    <cellStyle name="0_!!!GO_10QDEC2004 v3_V32(3) (2004)_Consolidation_2006_Summary auditBS &amp; PL" xfId="1023" xr:uid="{00000000-0005-0000-0000-0000B6010000}"/>
    <cellStyle name="0_!!!GO_10QDEC2004 v3_V32(3) (2004)_Management accounts 2006(UPDATED)" xfId="1024" xr:uid="{00000000-0005-0000-0000-0000B7010000}"/>
    <cellStyle name="0_!!!GO_10QDEC2004 v3_V32(7) (2004)fixed as per DTT" xfId="1025" xr:uid="{00000000-0005-0000-0000-0000B8010000}"/>
    <cellStyle name="0_!!!GO_10QDEC2004 v3_V32(7) (2004)fixed as per DTT_Consolidation_2006_Summary (v2) (1)" xfId="1026" xr:uid="{00000000-0005-0000-0000-0000B9010000}"/>
    <cellStyle name="0_!!!GO_10QDEC2004 v3_V32(7) (2004)fixed as per DTT_Consolidation_2006_Summary (v3)" xfId="1027" xr:uid="{00000000-0005-0000-0000-0000BA010000}"/>
    <cellStyle name="0_!!!GO_10QDEC2004 v3_V32(7) (2004)fixed as per DTT_Consolidation_2006_Summary audit" xfId="1028" xr:uid="{00000000-0005-0000-0000-0000BB010000}"/>
    <cellStyle name="0_!!!GO_10QDEC2004 v3_V32(7) (2004)fixed as per DTT_Consolidation_2006_Summary auditBS &amp; PL" xfId="1029" xr:uid="{00000000-0005-0000-0000-0000BC010000}"/>
    <cellStyle name="0_!!!GO_10QDEC2004 v3_V32(7) (2004)fixed as per DTT_Management accounts 2006(UPDATED)" xfId="1030" xr:uid="{00000000-0005-0000-0000-0000BD010000}"/>
    <cellStyle name="0_!!!GO_10QDEC2004 v3_V32(9) DTT(2004)as per DTTNov 1306" xfId="1031" xr:uid="{00000000-0005-0000-0000-0000BE010000}"/>
    <cellStyle name="0_!!!GO_10QDEC2004 v3_V32(9) DTT(2004)as per DTTNov 1306_Consolidation_2006_Summary (v2) (1)" xfId="1032" xr:uid="{00000000-0005-0000-0000-0000BF010000}"/>
    <cellStyle name="0_!!!GO_10QDEC2004 v3_V32(9) DTT(2004)as per DTTNov 1306_Consolidation_2006_Summary (v3)" xfId="1033" xr:uid="{00000000-0005-0000-0000-0000C0010000}"/>
    <cellStyle name="0_!!!GO_10QDEC2004 v3_V32(9) DTT(2004)as per DTTNov 1306_Consolidation_2006_Summary audit" xfId="1034" xr:uid="{00000000-0005-0000-0000-0000C1010000}"/>
    <cellStyle name="0_!!!GO_10QDEC2004 v3_V32(9) DTT(2004)as per DTTNov 1306_Consolidation_2006_Summary auditBS &amp; PL" xfId="1035" xr:uid="{00000000-0005-0000-0000-0000C2010000}"/>
    <cellStyle name="0_!!!GO_10QDEC2004 v3_V32(9) DTT(2004)as per DTTNov 1306_Management accounts 2006(UPDATED)" xfId="1036" xr:uid="{00000000-0005-0000-0000-0000C3010000}"/>
    <cellStyle name="0_!!!GO_10QDEC2004 v3_V38(5)(2005) " xfId="1037" xr:uid="{00000000-0005-0000-0000-0000C4010000}"/>
    <cellStyle name="0_!!!GO_10QDEC2004 v3_V38(8)(2005)fixed as per DTT " xfId="1038" xr:uid="{00000000-0005-0000-0000-0000C5010000}"/>
    <cellStyle name="0_!!!GO_10QDEC2004 v3_V39(2005) " xfId="1039" xr:uid="{00000000-0005-0000-0000-0000C6010000}"/>
    <cellStyle name="0_!!!GO_10QDEC2004 v3_v3march1705KORD Workings to notes to 6-k 2004_v17.3.06" xfId="1040" xr:uid="{00000000-0005-0000-0000-0000C7010000}"/>
    <cellStyle name="0_!!!GO_10QDEC2004 v3_V4Dec 2005  1" xfId="1041" xr:uid="{00000000-0005-0000-0000-0000C8010000}"/>
    <cellStyle name="0_!!!GO_10QDEC2004 v3_V8TCWorkings to notes to 6-k June05" xfId="1042" xr:uid="{00000000-0005-0000-0000-0000C9010000}"/>
    <cellStyle name="0_!!!GO_10QDEC2004 v3_Workings to notes to 20F" xfId="1043" xr:uid="{00000000-0005-0000-0000-0000CA010000}"/>
    <cellStyle name="0_!!!GO_10QDEC2004 v3_Workings to notes to 20F(v3)" xfId="1044" xr:uid="{00000000-0005-0000-0000-0000CB010000}"/>
    <cellStyle name="0_!!!GO_10QDEC2004 v3_Workings to notes to 20F_(3)Grand US workings December 2005" xfId="1045" xr:uid="{00000000-0005-0000-0000-0000CC010000}"/>
    <cellStyle name="0_!!!GO_10QDEC2004 v3_Workings to notes to 20F_(3)Grand US workings December 2005_Book1" xfId="1046" xr:uid="{00000000-0005-0000-0000-0000CD010000}"/>
    <cellStyle name="0_!!!GO_10QDEC2004 v3_Workings to notes to 20F_(3)Grand US workings December 2005_Consolidation_2006_Summary (v2) (1)" xfId="1047" xr:uid="{00000000-0005-0000-0000-0000CE010000}"/>
    <cellStyle name="0_!!!GO_10QDEC2004 v3_Workings to notes to 20F_(3)Grand US workings December 2005_Consolidation_2006_Summary (v3)" xfId="1048" xr:uid="{00000000-0005-0000-0000-0000CF010000}"/>
    <cellStyle name="0_!!!GO_10QDEC2004 v3_Workings to notes to 20F_(3)Grand US workings December 2005_Consolidation_2006_Summary audit" xfId="1049" xr:uid="{00000000-0005-0000-0000-0000D0010000}"/>
    <cellStyle name="0_!!!GO_10QDEC2004 v3_Workings to notes to 20F_(3)Grand US workings December 2005_Consolidation_2006_Summary auditBS &amp; PL" xfId="1050" xr:uid="{00000000-0005-0000-0000-0000D1010000}"/>
    <cellStyle name="0_!!!GO_10QDEC2004 v3_Workings to notes to 20F_(3)Grand US workings December 2005_DeferredTaxLiabilitiesOnFixedAssets" xfId="1051" xr:uid="{00000000-0005-0000-0000-0000D2010000}"/>
    <cellStyle name="0_!!!GO_10QDEC2004 v3_Workings to notes to 20F_(3)Grand US workings December 2005_Management accounts 2006(UPDATED)" xfId="1052" xr:uid="{00000000-0005-0000-0000-0000D3010000}"/>
    <cellStyle name="0_!!!GO_10QDEC2004 v3_Workings to notes to 20F_A2PLAYWELLWorkings to notes to 6-k Dec 051" xfId="1053" xr:uid="{00000000-0005-0000-0000-0000D4010000}"/>
    <cellStyle name="0_!!!GO_10QDEC2004 v3_Workings to notes to 20F_BLANK(iNT pLAY))(2)Workings to notes to 6-k September051" xfId="1054" xr:uid="{00000000-0005-0000-0000-0000D5010000}"/>
    <cellStyle name="0_!!!GO_10QDEC2004 v3_Workings to notes to 20F_BLANK(iNT pLAY))Workings to notes to 6-k June05" xfId="1055" xr:uid="{00000000-0005-0000-0000-0000D6010000}"/>
    <cellStyle name="0_!!!GO_10QDEC2004 v3_Workings to notes to 20F_Book1" xfId="1056" xr:uid="{00000000-0005-0000-0000-0000D7010000}"/>
    <cellStyle name="0_!!!GO_10QDEC2004 v3_Workings to notes to 20F_cashflow05K01" xfId="1057" xr:uid="{00000000-0005-0000-0000-0000D8010000}"/>
    <cellStyle name="0_!!!GO_10QDEC2004 v3_Workings to notes to 20F_consolidation entries 2004" xfId="1058" xr:uid="{00000000-0005-0000-0000-0000D9010000}"/>
    <cellStyle name="0_!!!GO_10QDEC2004 v3_Workings to notes to 20F_consolidation entries 2004_Consolidation_2006_Summary (v2) (1)" xfId="1059" xr:uid="{00000000-0005-0000-0000-0000DA010000}"/>
    <cellStyle name="0_!!!GO_10QDEC2004 v3_Workings to notes to 20F_consolidation entries 2004_Consolidation_2006_Summary (v3)" xfId="1060" xr:uid="{00000000-0005-0000-0000-0000DB010000}"/>
    <cellStyle name="0_!!!GO_10QDEC2004 v3_Workings to notes to 20F_consolidation entries 2004_Consolidation_2006_Summary audit" xfId="1061" xr:uid="{00000000-0005-0000-0000-0000DC010000}"/>
    <cellStyle name="0_!!!GO_10QDEC2004 v3_Workings to notes to 20F_consolidation entries 2004_Consolidation_2006_Summary auditBS &amp; PL" xfId="1062" xr:uid="{00000000-0005-0000-0000-0000DD010000}"/>
    <cellStyle name="0_!!!GO_10QDEC2004 v3_Workings to notes to 20F_consolidation entries 2004_Management accounts 2006(UPDATED)" xfId="1063" xr:uid="{00000000-0005-0000-0000-0000DE010000}"/>
    <cellStyle name="0_!!!GO_10QDEC2004 v3_Workings to notes to 20F_corporate tax entry allocation" xfId="1064" xr:uid="{00000000-0005-0000-0000-0000DF010000}"/>
    <cellStyle name="0_!!!GO_10QDEC2004 v3_Workings to notes to 20F_DeferredTaxLiabilitiesOnFixedAssets" xfId="1065" xr:uid="{00000000-0005-0000-0000-0000E0010000}"/>
    <cellStyle name="0_!!!GO_10QDEC2004 v3_Workings to notes to 20F_Detailed Conso july 2005" xfId="1066" xr:uid="{00000000-0005-0000-0000-0000E1010000}"/>
    <cellStyle name="0_!!!GO_10QDEC2004 v3_Workings to notes to 20F_Detailed Conso july 2005_Book1" xfId="1067" xr:uid="{00000000-0005-0000-0000-0000E2010000}"/>
    <cellStyle name="0_!!!GO_10QDEC2004 v3_Workings to notes to 20F_Detailed Conso july 2005_Consolidation_2006_Summary (v2) (1)" xfId="1068" xr:uid="{00000000-0005-0000-0000-0000E3010000}"/>
    <cellStyle name="0_!!!GO_10QDEC2004 v3_Workings to notes to 20F_Detailed Conso july 2005_Consolidation_2006_Summary (v3)" xfId="1069" xr:uid="{00000000-0005-0000-0000-0000E4010000}"/>
    <cellStyle name="0_!!!GO_10QDEC2004 v3_Workings to notes to 20F_Detailed Conso july 2005_Consolidation_2006_Summary audit" xfId="1070" xr:uid="{00000000-0005-0000-0000-0000E5010000}"/>
    <cellStyle name="0_!!!GO_10QDEC2004 v3_Workings to notes to 20F_Detailed Conso july 2005_Consolidation_2006_Summary auditBS &amp; PL" xfId="1071" xr:uid="{00000000-0005-0000-0000-0000E6010000}"/>
    <cellStyle name="0_!!!GO_10QDEC2004 v3_Workings to notes to 20F_Detailed Conso july 2005_DeferredTaxLiabilitiesOnFixedAssets" xfId="1072" xr:uid="{00000000-0005-0000-0000-0000E7010000}"/>
    <cellStyle name="0_!!!GO_10QDEC2004 v3_Workings to notes to 20F_Detailed Conso july 2005_Management accounts 2006(UPDATED)" xfId="1073" xr:uid="{00000000-0005-0000-0000-0000E8010000}"/>
    <cellStyle name="0_!!!GO_10QDEC2004 v3_Workings to notes to 20F_FA2005schedule" xfId="1074" xr:uid="{00000000-0005-0000-0000-0000E9010000}"/>
    <cellStyle name="0_!!!GO_10QDEC2004 v3_Workings to notes to 20F_Grand US workings December 2005" xfId="1075" xr:uid="{00000000-0005-0000-0000-0000EA010000}"/>
    <cellStyle name="0_!!!GO_10QDEC2004 v3_Workings to notes to 20F_Grand US workings December 2005_Book1" xfId="1076" xr:uid="{00000000-0005-0000-0000-0000EB010000}"/>
    <cellStyle name="0_!!!GO_10QDEC2004 v3_Workings to notes to 20F_Grand US workings December 2005_Consolidation_2006_Summary (v2) (1)" xfId="1077" xr:uid="{00000000-0005-0000-0000-0000EC010000}"/>
    <cellStyle name="0_!!!GO_10QDEC2004 v3_Workings to notes to 20F_Grand US workings December 2005_Consolidation_2006_Summary (v3)" xfId="1078" xr:uid="{00000000-0005-0000-0000-0000ED010000}"/>
    <cellStyle name="0_!!!GO_10QDEC2004 v3_Workings to notes to 20F_Grand US workings December 2005_Consolidation_2006_Summary audit" xfId="1079" xr:uid="{00000000-0005-0000-0000-0000EE010000}"/>
    <cellStyle name="0_!!!GO_10QDEC2004 v3_Workings to notes to 20F_Grand US workings December 2005_Consolidation_2006_Summary auditBS &amp; PL" xfId="1080" xr:uid="{00000000-0005-0000-0000-0000EF010000}"/>
    <cellStyle name="0_!!!GO_10QDEC2004 v3_Workings to notes to 20F_Grand US workings December 2005_DeferredTaxLiabilitiesOnFixedAssets" xfId="1081" xr:uid="{00000000-0005-0000-0000-0000F0010000}"/>
    <cellStyle name="0_!!!GO_10QDEC2004 v3_Workings to notes to 20F_Grand US workings December 2005_Management accounts 2006(UPDATED)" xfId="1082" xr:uid="{00000000-0005-0000-0000-0000F1010000}"/>
    <cellStyle name="0_!!!GO_10QDEC2004 v3_Workings to notes to 20F_Grand US workings June2005" xfId="1083" xr:uid="{00000000-0005-0000-0000-0000F2010000}"/>
    <cellStyle name="0_!!!GO_10QDEC2004 v3_Workings to notes to 20F_Grand US workings June2005_Book1" xfId="1084" xr:uid="{00000000-0005-0000-0000-0000F3010000}"/>
    <cellStyle name="0_!!!GO_10QDEC2004 v3_Workings to notes to 20F_Grand US workings June2005_Consolidation_2006_Summary (v2) (1)" xfId="1085" xr:uid="{00000000-0005-0000-0000-0000F4010000}"/>
    <cellStyle name="0_!!!GO_10QDEC2004 v3_Workings to notes to 20F_Grand US workings June2005_Consolidation_2006_Summary (v3)" xfId="1086" xr:uid="{00000000-0005-0000-0000-0000F5010000}"/>
    <cellStyle name="0_!!!GO_10QDEC2004 v3_Workings to notes to 20F_Grand US workings June2005_Consolidation_2006_Summary audit" xfId="1087" xr:uid="{00000000-0005-0000-0000-0000F6010000}"/>
    <cellStyle name="0_!!!GO_10QDEC2004 v3_Workings to notes to 20F_Grand US workings June2005_Consolidation_2006_Summary auditBS &amp; PL" xfId="1088" xr:uid="{00000000-0005-0000-0000-0000F7010000}"/>
    <cellStyle name="0_!!!GO_10QDEC2004 v3_Workings to notes to 20F_Grand US workings June2005_DeferredTaxLiabilitiesOnFixedAssets" xfId="1089" xr:uid="{00000000-0005-0000-0000-0000F8010000}"/>
    <cellStyle name="0_!!!GO_10QDEC2004 v3_Workings to notes to 20F_Grand US workings June2005_Management accounts 2006(UPDATED)" xfId="1090" xr:uid="{00000000-0005-0000-0000-0000F9010000}"/>
    <cellStyle name="0_!!!GO_10QDEC2004 v3_Workings to notes to 20F_Grand US workings June2005_V10Workings to notes to 6-k June05 (2)" xfId="1091" xr:uid="{00000000-0005-0000-0000-0000FA010000}"/>
    <cellStyle name="0_!!!GO_10QDEC2004 v3_Workings to notes to 20F_HUAYANGv5(revised by dy)  wORKINGS TO nOITE DEC 3104" xfId="1092" xr:uid="{00000000-0005-0000-0000-0000FB010000}"/>
    <cellStyle name="0_!!!GO_10QDEC2004 v3_Workings to notes to 20F_HUAYANGWorkings to notes to 6-k FY2005-Consol" xfId="1093" xr:uid="{00000000-0005-0000-0000-0000FC010000}"/>
    <cellStyle name="0_!!!GO_10QDEC2004 v3_Workings to notes to 20F_Inventory  AR March 31 2005" xfId="1094" xr:uid="{00000000-0005-0000-0000-0000FD010000}"/>
    <cellStyle name="0_!!!GO_10QDEC2004 v3_Workings to notes to 20F_KD(5) Workings to notes to 6-k 2005_v17.3.06" xfId="1095" xr:uid="{00000000-0005-0000-0000-0000FE010000}"/>
    <cellStyle name="0_!!!GO_10QDEC2004 v3_Workings to notes to 20F_KORD Workings to notes to 6-k 2005_v17.3.06" xfId="1096" xr:uid="{00000000-0005-0000-0000-0000FF010000}"/>
    <cellStyle name="0_!!!GO_10QDEC2004 v3_Workings to notes to 20F_NOTES TO CASH" xfId="1097" xr:uid="{00000000-0005-0000-0000-000000020000}"/>
    <cellStyle name="0_!!!GO_10QDEC2004 v3_Workings to notes to 20F_October 2005BLANK(PLAYWELL)Workings to notes to 6-k Sept05" xfId="1098" xr:uid="{00000000-0005-0000-0000-000001020000}"/>
    <cellStyle name="0_!!!GO_10QDEC2004 v3_Workings to notes to 20F_OPTIONS  RECAPjune10,2005updated" xfId="1099" xr:uid="{00000000-0005-0000-0000-000002020000}"/>
    <cellStyle name="0_!!!GO_10QDEC2004 v3_Workings to notes to 20F_PIL RPT movements" xfId="1100" xr:uid="{00000000-0005-0000-0000-000003020000}"/>
    <cellStyle name="0_!!!GO_10QDEC2004 v3_Workings to notes to 20F_PLAYWELL Workings to notes to 6-k Dec 05" xfId="1101" xr:uid="{00000000-0005-0000-0000-000004020000}"/>
    <cellStyle name="0_!!!GO_10QDEC2004 v3_Workings to notes to 20F_PLAYWELL Workings to notes to 6-k June04" xfId="1102" xr:uid="{00000000-0005-0000-0000-000005020000}"/>
    <cellStyle name="0_!!!GO_10QDEC2004 v3_Workings to notes to 20F_Sheet2" xfId="1103" xr:uid="{00000000-0005-0000-0000-000006020000}"/>
    <cellStyle name="0_!!!GO_10QDEC2004 v3_Workings to notes to 20F_Sheet3" xfId="1104" xr:uid="{00000000-0005-0000-0000-000007020000}"/>
    <cellStyle name="0_!!!GO_10QDEC2004 v3_Workings to notes to 20F_Sheet4" xfId="1105" xr:uid="{00000000-0005-0000-0000-000008020000}"/>
    <cellStyle name="0_!!!GO_10QDEC2004 v3_Workings to notes to 20F_Top Lines (AC)" xfId="1106" xr:uid="{00000000-0005-0000-0000-000009020000}"/>
    <cellStyle name="0_!!!GO_10QDEC2004 v3_Workings to notes to 20F_V1 Dec 2005  1" xfId="1107" xr:uid="{00000000-0005-0000-0000-00000A020000}"/>
    <cellStyle name="0_!!!GO_10QDEC2004 v3_Workings to notes to 20F_V1 July05 " xfId="1108" xr:uid="{00000000-0005-0000-0000-00000B020000}"/>
    <cellStyle name="0_!!!GO_10QDEC2004 v3_Workings to notes to 20F_V10Workings to notes to 6-k June05 (2)" xfId="1109" xr:uid="{00000000-0005-0000-0000-00000C020000}"/>
    <cellStyle name="0_!!!GO_10QDEC2004 v3_Workings to notes to 20F_V11workings to notes to 2004 inc HY and KD1" xfId="1110" xr:uid="{00000000-0005-0000-0000-00000D020000}"/>
    <cellStyle name="0_!!!GO_10QDEC2004 v3_Workings to notes to 20F_V11workings to notes to 2004 inc HY and KD1_Book1" xfId="1111" xr:uid="{00000000-0005-0000-0000-00000E020000}"/>
    <cellStyle name="0_!!!GO_10QDEC2004 v3_Workings to notes to 20F_V11workings to notes to 2004 inc HY and KD1_Consolidation_2006_Summary (v2) (1)" xfId="1112" xr:uid="{00000000-0005-0000-0000-00000F020000}"/>
    <cellStyle name="0_!!!GO_10QDEC2004 v3_Workings to notes to 20F_V11workings to notes to 2004 inc HY and KD1_Consolidation_2006_Summary (v3)" xfId="1113" xr:uid="{00000000-0005-0000-0000-000010020000}"/>
    <cellStyle name="0_!!!GO_10QDEC2004 v3_Workings to notes to 20F_V11workings to notes to 2004 inc HY and KD1_Consolidation_2006_Summary audit" xfId="1114" xr:uid="{00000000-0005-0000-0000-000011020000}"/>
    <cellStyle name="0_!!!GO_10QDEC2004 v3_Workings to notes to 20F_V11workings to notes to 2004 inc HY and KD1_Consolidation_2006_Summary auditBS &amp; PL" xfId="1115" xr:uid="{00000000-0005-0000-0000-000012020000}"/>
    <cellStyle name="0_!!!GO_10QDEC2004 v3_Workings to notes to 20F_V11workings to notes to 2004 inc HY and KD1_DeferredTaxLiabilitiesOnFixedAssets" xfId="1116" xr:uid="{00000000-0005-0000-0000-000013020000}"/>
    <cellStyle name="0_!!!GO_10QDEC2004 v3_Workings to notes to 20F_V11workings to notes to 2004 inc HY and KD1_Management accounts 2006(UPDATED)" xfId="1117" xr:uid="{00000000-0005-0000-0000-000014020000}"/>
    <cellStyle name="0_!!!GO_10QDEC2004 v3_Workings to notes to 20F_V14 Dec 2005  1" xfId="1118" xr:uid="{00000000-0005-0000-0000-000015020000}"/>
    <cellStyle name="0_!!!GO_10QDEC2004 v3_Workings to notes to 20F_V18 Dec 2005 TC" xfId="1119" xr:uid="{00000000-0005-0000-0000-000016020000}"/>
    <cellStyle name="0_!!!GO_10QDEC2004 v3_Workings to notes to 20F_V29workings to notes to 2004 inc HY and KD1(1)" xfId="1120" xr:uid="{00000000-0005-0000-0000-000017020000}"/>
    <cellStyle name="0_!!!GO_10QDEC2004 v3_Workings to notes to 20F_V29workings to notes to 2004 inc HY and KD1(1)_Book1" xfId="1121" xr:uid="{00000000-0005-0000-0000-000018020000}"/>
    <cellStyle name="0_!!!GO_10QDEC2004 v3_Workings to notes to 20F_V29workings to notes to 2004 inc HY and KD1(1)_Consolidation_2006_Summary (v2) (1)" xfId="1122" xr:uid="{00000000-0005-0000-0000-000019020000}"/>
    <cellStyle name="0_!!!GO_10QDEC2004 v3_Workings to notes to 20F_V29workings to notes to 2004 inc HY and KD1(1)_Consolidation_2006_Summary (v3)" xfId="1123" xr:uid="{00000000-0005-0000-0000-00001A020000}"/>
    <cellStyle name="0_!!!GO_10QDEC2004 v3_Workings to notes to 20F_V29workings to notes to 2004 inc HY and KD1(1)_Consolidation_2006_Summary audit" xfId="1124" xr:uid="{00000000-0005-0000-0000-00001B020000}"/>
    <cellStyle name="0_!!!GO_10QDEC2004 v3_Workings to notes to 20F_V29workings to notes to 2004 inc HY and KD1(1)_Consolidation_2006_Summary auditBS &amp; PL" xfId="1125" xr:uid="{00000000-0005-0000-0000-00001C020000}"/>
    <cellStyle name="0_!!!GO_10QDEC2004 v3_Workings to notes to 20F_V29workings to notes to 2004 inc HY and KD1(1)_DeferredTaxLiabilitiesOnFixedAssets" xfId="1126" xr:uid="{00000000-0005-0000-0000-00001D020000}"/>
    <cellStyle name="0_!!!GO_10QDEC2004 v3_Workings to notes to 20F_V29workings to notes to 2004 inc HY and KD1(1)_Management accounts 2006(UPDATED)" xfId="1127" xr:uid="{00000000-0005-0000-0000-00001E020000}"/>
    <cellStyle name="0_!!!GO_10QDEC2004 v3_Workings to notes to 20F_V2BLANK(PLAYWELL)Workings to notes to 6-k June05" xfId="1128" xr:uid="{00000000-0005-0000-0000-00001F020000}"/>
    <cellStyle name="0_!!!GO_10QDEC2004 v3_Workings to notes to 20F_V2Dec 2005  1" xfId="1129" xr:uid="{00000000-0005-0000-0000-000020020000}"/>
    <cellStyle name="0_!!!GO_10QDEC2004 v3_Workings to notes to 20F_V2DSep2005 " xfId="1130" xr:uid="{00000000-0005-0000-0000-000021020000}"/>
    <cellStyle name="0_!!!GO_10QDEC2004 v3_Workings to notes to 20F_V2FSep2005 tc" xfId="1131" xr:uid="{00000000-0005-0000-0000-000022020000}"/>
    <cellStyle name="0_!!!GO_10QDEC2004 v3_Workings to notes to 20F_V2ISep2005 " xfId="1132" xr:uid="{00000000-0005-0000-0000-000023020000}"/>
    <cellStyle name="0_!!!GO_10QDEC2004 v3_Workings to notes to 20F_V2October 19 05Workings to notes to 6-k Sept05" xfId="1133" xr:uid="{00000000-0005-0000-0000-000024020000}"/>
    <cellStyle name="0_!!!GO_10QDEC2004 v3_Workings to notes to 20F_V30workings to notes to 2004 inc HY and KD1(1)" xfId="1134" xr:uid="{00000000-0005-0000-0000-000025020000}"/>
    <cellStyle name="0_!!!GO_10QDEC2004 v3_Workings to notes to 20F_V30workings to notes to 2004 inc HY and KD1(1)_Book1" xfId="1135" xr:uid="{00000000-0005-0000-0000-000026020000}"/>
    <cellStyle name="0_!!!GO_10QDEC2004 v3_Workings to notes to 20F_V30workings to notes to 2004 inc HY and KD1(1)_Consolidation_2006_Summary (v2) (1)" xfId="1136" xr:uid="{00000000-0005-0000-0000-000027020000}"/>
    <cellStyle name="0_!!!GO_10QDEC2004 v3_Workings to notes to 20F_V30workings to notes to 2004 inc HY and KD1(1)_Consolidation_2006_Summary (v3)" xfId="1137" xr:uid="{00000000-0005-0000-0000-000028020000}"/>
    <cellStyle name="0_!!!GO_10QDEC2004 v3_Workings to notes to 20F_V30workings to notes to 2004 inc HY and KD1(1)_Consolidation_2006_Summary audit" xfId="1138" xr:uid="{00000000-0005-0000-0000-000029020000}"/>
    <cellStyle name="0_!!!GO_10QDEC2004 v3_Workings to notes to 20F_V30workings to notes to 2004 inc HY and KD1(1)_Consolidation_2006_Summary auditBS &amp; PL" xfId="1139" xr:uid="{00000000-0005-0000-0000-00002A020000}"/>
    <cellStyle name="0_!!!GO_10QDEC2004 v3_Workings to notes to 20F_V30workings to notes to 2004 inc HY and KD1(1)_DeferredTaxLiabilitiesOnFixedAssets" xfId="1140" xr:uid="{00000000-0005-0000-0000-00002B020000}"/>
    <cellStyle name="0_!!!GO_10QDEC2004 v3_Workings to notes to 20F_V30workings to notes to 2004 inc HY and KD1(1)_Management accounts 2006(UPDATED)" xfId="1141" xr:uid="{00000000-0005-0000-0000-00002C020000}"/>
    <cellStyle name="0_!!!GO_10QDEC2004 v3_Workings to notes to 20F_V31 Dec 2005 " xfId="1142" xr:uid="{00000000-0005-0000-0000-00002D020000}"/>
    <cellStyle name="0_!!!GO_10QDEC2004 v3_Workings to notes to 20F_V31(2) Dec 2005 (2)" xfId="1143" xr:uid="{00000000-0005-0000-0000-00002E020000}"/>
    <cellStyle name="0_!!!GO_10QDEC2004 v3_Workings to notes to 20F_V32(2) (2004)" xfId="1144" xr:uid="{00000000-0005-0000-0000-00002F020000}"/>
    <cellStyle name="0_!!!GO_10QDEC2004 v3_Workings to notes to 20F_V32(2) (2004)_Consolidation_2006_Summary (v2) (1)" xfId="1145" xr:uid="{00000000-0005-0000-0000-000030020000}"/>
    <cellStyle name="0_!!!GO_10QDEC2004 v3_Workings to notes to 20F_V32(2) (2004)_Consolidation_2006_Summary (v3)" xfId="1146" xr:uid="{00000000-0005-0000-0000-000031020000}"/>
    <cellStyle name="0_!!!GO_10QDEC2004 v3_Workings to notes to 20F_V32(2) (2004)_Consolidation_2006_Summary audit" xfId="1147" xr:uid="{00000000-0005-0000-0000-000032020000}"/>
    <cellStyle name="0_!!!GO_10QDEC2004 v3_Workings to notes to 20F_V32(2) (2004)_Consolidation_2006_Summary auditBS &amp; PL" xfId="1148" xr:uid="{00000000-0005-0000-0000-000033020000}"/>
    <cellStyle name="0_!!!GO_10QDEC2004 v3_Workings to notes to 20F_V32(2) (2004)_Management accounts 2006(UPDATED)" xfId="1149" xr:uid="{00000000-0005-0000-0000-000034020000}"/>
    <cellStyle name="0_!!!GO_10QDEC2004 v3_Workings to notes to 20F_V32(3) (2004)" xfId="1150" xr:uid="{00000000-0005-0000-0000-000035020000}"/>
    <cellStyle name="0_!!!GO_10QDEC2004 v3_Workings to notes to 20F_V32(3) (2004)_Consolidation_2006_Summary (v2) (1)" xfId="1151" xr:uid="{00000000-0005-0000-0000-000036020000}"/>
    <cellStyle name="0_!!!GO_10QDEC2004 v3_Workings to notes to 20F_V32(3) (2004)_Consolidation_2006_Summary (v3)" xfId="1152" xr:uid="{00000000-0005-0000-0000-000037020000}"/>
    <cellStyle name="0_!!!GO_10QDEC2004 v3_Workings to notes to 20F_V32(3) (2004)_Consolidation_2006_Summary audit" xfId="1153" xr:uid="{00000000-0005-0000-0000-000038020000}"/>
    <cellStyle name="0_!!!GO_10QDEC2004 v3_Workings to notes to 20F_V32(3) (2004)_Consolidation_2006_Summary auditBS &amp; PL" xfId="1154" xr:uid="{00000000-0005-0000-0000-000039020000}"/>
    <cellStyle name="0_!!!GO_10QDEC2004 v3_Workings to notes to 20F_V32(3) (2004)_Management accounts 2006(UPDATED)" xfId="1155" xr:uid="{00000000-0005-0000-0000-00003A020000}"/>
    <cellStyle name="0_!!!GO_10QDEC2004 v3_Workings to notes to 20F_V32(7) (2004)fixed as per DTT" xfId="1156" xr:uid="{00000000-0005-0000-0000-00003B020000}"/>
    <cellStyle name="0_!!!GO_10QDEC2004 v3_Workings to notes to 20F_V32(7) (2004)fixed as per DTT_Consolidation_2006_Summary (v2) (1)" xfId="1157" xr:uid="{00000000-0005-0000-0000-00003C020000}"/>
    <cellStyle name="0_!!!GO_10QDEC2004 v3_Workings to notes to 20F_V32(7) (2004)fixed as per DTT_Consolidation_2006_Summary (v3)" xfId="1158" xr:uid="{00000000-0005-0000-0000-00003D020000}"/>
    <cellStyle name="0_!!!GO_10QDEC2004 v3_Workings to notes to 20F_V32(7) (2004)fixed as per DTT_Consolidation_2006_Summary audit" xfId="1159" xr:uid="{00000000-0005-0000-0000-00003E020000}"/>
    <cellStyle name="0_!!!GO_10QDEC2004 v3_Workings to notes to 20F_V32(7) (2004)fixed as per DTT_Consolidation_2006_Summary auditBS &amp; PL" xfId="1160" xr:uid="{00000000-0005-0000-0000-00003F020000}"/>
    <cellStyle name="0_!!!GO_10QDEC2004 v3_Workings to notes to 20F_V32(7) (2004)fixed as per DTT_Management accounts 2006(UPDATED)" xfId="1161" xr:uid="{00000000-0005-0000-0000-000040020000}"/>
    <cellStyle name="0_!!!GO_10QDEC2004 v3_Workings to notes to 20F_V32(9) DTT(2004)as per DTTNov 1306" xfId="1162" xr:uid="{00000000-0005-0000-0000-000041020000}"/>
    <cellStyle name="0_!!!GO_10QDEC2004 v3_Workings to notes to 20F_V32(9) DTT(2004)as per DTTNov 1306_Consolidation_2006_Summary (v2) (1)" xfId="1163" xr:uid="{00000000-0005-0000-0000-000042020000}"/>
    <cellStyle name="0_!!!GO_10QDEC2004 v3_Workings to notes to 20F_V32(9) DTT(2004)as per DTTNov 1306_Consolidation_2006_Summary (v3)" xfId="1164" xr:uid="{00000000-0005-0000-0000-000043020000}"/>
    <cellStyle name="0_!!!GO_10QDEC2004 v3_Workings to notes to 20F_V32(9) DTT(2004)as per DTTNov 1306_Consolidation_2006_Summary audit" xfId="1165" xr:uid="{00000000-0005-0000-0000-000044020000}"/>
    <cellStyle name="0_!!!GO_10QDEC2004 v3_Workings to notes to 20F_V32(9) DTT(2004)as per DTTNov 1306_Consolidation_2006_Summary auditBS &amp; PL" xfId="1166" xr:uid="{00000000-0005-0000-0000-000045020000}"/>
    <cellStyle name="0_!!!GO_10QDEC2004 v3_Workings to notes to 20F_V32(9) DTT(2004)as per DTTNov 1306_Management accounts 2006(UPDATED)" xfId="1167" xr:uid="{00000000-0005-0000-0000-000046020000}"/>
    <cellStyle name="0_!!!GO_10QDEC2004 v3_Workings to notes to 20F_V38(5)(2005) " xfId="1168" xr:uid="{00000000-0005-0000-0000-000047020000}"/>
    <cellStyle name="0_!!!GO_10QDEC2004 v3_Workings to notes to 20F_V38(8)(2005)fixed as per DTT " xfId="1169" xr:uid="{00000000-0005-0000-0000-000048020000}"/>
    <cellStyle name="0_!!!GO_10QDEC2004 v3_Workings to notes to 20F_V39(2005) " xfId="1170" xr:uid="{00000000-0005-0000-0000-000049020000}"/>
    <cellStyle name="0_!!!GO_10QDEC2004 v3_Workings to notes to 20F_v3march1705KORD Workings to notes to 6-k 2004_v17.3.06" xfId="1171" xr:uid="{00000000-0005-0000-0000-00004A020000}"/>
    <cellStyle name="0_!!!GO_10QDEC2004 v3_Workings to notes to 20F_V4Dec 2005  1" xfId="1172" xr:uid="{00000000-0005-0000-0000-00004B020000}"/>
    <cellStyle name="0_!!!GO_10QDEC2004 v3_Workings to notes to 20F_V8TCWorkings to notes to 6-k June05" xfId="1173" xr:uid="{00000000-0005-0000-0000-00004C020000}"/>
    <cellStyle name="0_!!!GO_10QDEC2004 v3_Workings to notes to 20F_Workings to notes to 6-k FY2005-Consol-V3" xfId="1174" xr:uid="{00000000-0005-0000-0000-00004D020000}"/>
    <cellStyle name="0_!!!GO_10QDEC2004 v3_Workings to notes to 20F_Workings to notes to 6-k FY2005-Consol-V37" xfId="1175" xr:uid="{00000000-0005-0000-0000-00004E020000}"/>
    <cellStyle name="0_!!!GO_10QDEC2004 v3_Workings to notes to 20F_Workings to notes to 6-k FY2005-Consol-V8" xfId="1176" xr:uid="{00000000-0005-0000-0000-00004F020000}"/>
    <cellStyle name="0_!!!GO_10QDEC2004 v3_Workings to notes to 20F_Workings to notes to 6-k June05v1" xfId="1177" xr:uid="{00000000-0005-0000-0000-000050020000}"/>
    <cellStyle name="0_!!!GO_10QDEC2004 v3_Workings to notes to 20F_Workings to notes to 6-k June05v2" xfId="1178" xr:uid="{00000000-0005-0000-0000-000051020000}"/>
    <cellStyle name="0_!!!GO_10QDEC2004 v3_Workings to notes to 20F_Workings to notes to 6-k June05v3" xfId="1179" xr:uid="{00000000-0005-0000-0000-000052020000}"/>
    <cellStyle name="0_!!!GO_10QDEC2004 v3_Workings to notes to 20F_Workings to notes to 6-k Mar05v13TC" xfId="1180" xr:uid="{00000000-0005-0000-0000-000053020000}"/>
    <cellStyle name="0_!!!GO_10QDEC2004 v3_Workings to notes to 20F_Workings to notes to 6-k Mar05v17" xfId="1181" xr:uid="{00000000-0005-0000-0000-000054020000}"/>
    <cellStyle name="0_!!!GO_10QDEC2004 v3_Workings to notes to 6-k FY2005-Consol-V3" xfId="1182" xr:uid="{00000000-0005-0000-0000-000055020000}"/>
    <cellStyle name="0_!!!GO_10QDEC2004 v3_Workings to notes to 6-k FY2005-Consol-V37" xfId="1183" xr:uid="{00000000-0005-0000-0000-000056020000}"/>
    <cellStyle name="0_!!!GO_10QDEC2004 v3_Workings to notes to 6-k FY2005-Consol-V8" xfId="1184" xr:uid="{00000000-0005-0000-0000-000057020000}"/>
    <cellStyle name="0_!!!GO_10QDEC2004 v3_Workings to notes to 6-k June05v1" xfId="1185" xr:uid="{00000000-0005-0000-0000-000058020000}"/>
    <cellStyle name="0_!!!GO_10QDEC2004 v3_Workings to notes to 6-k June05v2" xfId="1186" xr:uid="{00000000-0005-0000-0000-000059020000}"/>
    <cellStyle name="0_!!!GO_10QDEC2004 v3_Workings to notes to 6-k June05v3" xfId="1187" xr:uid="{00000000-0005-0000-0000-00005A020000}"/>
    <cellStyle name="0_!!!GO_10QDEC2004 v3_Workings to notes to 6-k Mar05v13TC" xfId="1188" xr:uid="{00000000-0005-0000-0000-00005B020000}"/>
    <cellStyle name="0_!!!GO_10QDEC2004 v3_Workings to notes to 6-k Mar05v17" xfId="1189" xr:uid="{00000000-0005-0000-0000-00005C020000}"/>
    <cellStyle name="0_!!!GO_10QSEP 2004 v7" xfId="1190" xr:uid="{00000000-0005-0000-0000-00005D020000}"/>
    <cellStyle name="0_!!!GO_10QSEP 2004 v7_(3)Grand US workings December 2005" xfId="1191" xr:uid="{00000000-0005-0000-0000-00005E020000}"/>
    <cellStyle name="0_!!!GO_10QSEP 2004 v7_(3)Grand US workings December 2005_Book1" xfId="1192" xr:uid="{00000000-0005-0000-0000-00005F020000}"/>
    <cellStyle name="0_!!!GO_10QSEP 2004 v7_(3)Grand US workings December 2005_Consolidation_2006_Summary (v2) (1)" xfId="1193" xr:uid="{00000000-0005-0000-0000-000060020000}"/>
    <cellStyle name="0_!!!GO_10QSEP 2004 v7_(3)Grand US workings December 2005_Consolidation_2006_Summary (v3)" xfId="1194" xr:uid="{00000000-0005-0000-0000-000061020000}"/>
    <cellStyle name="0_!!!GO_10QSEP 2004 v7_(3)Grand US workings December 2005_Consolidation_2006_Summary audit" xfId="1195" xr:uid="{00000000-0005-0000-0000-000062020000}"/>
    <cellStyle name="0_!!!GO_10QSEP 2004 v7_(3)Grand US workings December 2005_Consolidation_2006_Summary auditBS &amp; PL" xfId="1196" xr:uid="{00000000-0005-0000-0000-000063020000}"/>
    <cellStyle name="0_!!!GO_10QSEP 2004 v7_(3)Grand US workings December 2005_DeferredTaxLiabilitiesOnFixedAssets" xfId="1197" xr:uid="{00000000-0005-0000-0000-000064020000}"/>
    <cellStyle name="0_!!!GO_10QSEP 2004 v7_(3)Grand US workings December 2005_Management accounts 2006(UPDATED)" xfId="1198" xr:uid="{00000000-0005-0000-0000-000065020000}"/>
    <cellStyle name="0_!!!GO_10QSEP 2004 v7_A2PLAYWELLWorkings to notes to 6-k Dec 051" xfId="1199" xr:uid="{00000000-0005-0000-0000-000066020000}"/>
    <cellStyle name="0_!!!GO_10QSEP 2004 v7_BLANK(iNT pLAY))(2)Workings to notes to 6-k September051" xfId="1200" xr:uid="{00000000-0005-0000-0000-000067020000}"/>
    <cellStyle name="0_!!!GO_10QSEP 2004 v7_BLANK(iNT pLAY))Workings to notes to 6-k June05" xfId="1201" xr:uid="{00000000-0005-0000-0000-000068020000}"/>
    <cellStyle name="0_!!!GO_10QSEP 2004 v7_Book1" xfId="1202" xr:uid="{00000000-0005-0000-0000-000069020000}"/>
    <cellStyle name="0_!!!GO_10QSEP 2004 v7_cashflow05K01" xfId="1203" xr:uid="{00000000-0005-0000-0000-00006A020000}"/>
    <cellStyle name="0_!!!GO_10QSEP 2004 v7_consolidation entries 2004" xfId="1204" xr:uid="{00000000-0005-0000-0000-00006B020000}"/>
    <cellStyle name="0_!!!GO_10QSEP 2004 v7_consolidation entries 2004_Consolidation_2006_Summary (v2) (1)" xfId="1205" xr:uid="{00000000-0005-0000-0000-00006C020000}"/>
    <cellStyle name="0_!!!GO_10QSEP 2004 v7_consolidation entries 2004_Consolidation_2006_Summary (v3)" xfId="1206" xr:uid="{00000000-0005-0000-0000-00006D020000}"/>
    <cellStyle name="0_!!!GO_10QSEP 2004 v7_consolidation entries 2004_Consolidation_2006_Summary audit" xfId="1207" xr:uid="{00000000-0005-0000-0000-00006E020000}"/>
    <cellStyle name="0_!!!GO_10QSEP 2004 v7_consolidation entries 2004_Consolidation_2006_Summary auditBS &amp; PL" xfId="1208" xr:uid="{00000000-0005-0000-0000-00006F020000}"/>
    <cellStyle name="0_!!!GO_10QSEP 2004 v7_consolidation entries 2004_Management accounts 2006(UPDATED)" xfId="1209" xr:uid="{00000000-0005-0000-0000-000070020000}"/>
    <cellStyle name="0_!!!GO_10QSEP 2004 v7_corporate tax entry allocation" xfId="1210" xr:uid="{00000000-0005-0000-0000-000071020000}"/>
    <cellStyle name="0_!!!GO_10QSEP 2004 v7_credit risk note" xfId="1211" xr:uid="{00000000-0005-0000-0000-000072020000}"/>
    <cellStyle name="0_!!!GO_10QSEP 2004 v7_DeferredTaxLiabilitiesOnFixedAssets" xfId="1212" xr:uid="{00000000-0005-0000-0000-000073020000}"/>
    <cellStyle name="0_!!!GO_10QSEP 2004 v7_Detailed Conso july 2005" xfId="1213" xr:uid="{00000000-0005-0000-0000-000074020000}"/>
    <cellStyle name="0_!!!GO_10QSEP 2004 v7_Detailed Conso july 2005_Book1" xfId="1214" xr:uid="{00000000-0005-0000-0000-000075020000}"/>
    <cellStyle name="0_!!!GO_10QSEP 2004 v7_Detailed Conso july 2005_Consolidation_2006_Summary (v2) (1)" xfId="1215" xr:uid="{00000000-0005-0000-0000-000076020000}"/>
    <cellStyle name="0_!!!GO_10QSEP 2004 v7_Detailed Conso july 2005_Consolidation_2006_Summary (v3)" xfId="1216" xr:uid="{00000000-0005-0000-0000-000077020000}"/>
    <cellStyle name="0_!!!GO_10QSEP 2004 v7_Detailed Conso july 2005_Consolidation_2006_Summary audit" xfId="1217" xr:uid="{00000000-0005-0000-0000-000078020000}"/>
    <cellStyle name="0_!!!GO_10QSEP 2004 v7_Detailed Conso july 2005_Consolidation_2006_Summary auditBS &amp; PL" xfId="1218" xr:uid="{00000000-0005-0000-0000-000079020000}"/>
    <cellStyle name="0_!!!GO_10QSEP 2004 v7_Detailed Conso july 2005_DeferredTaxLiabilitiesOnFixedAssets" xfId="1219" xr:uid="{00000000-0005-0000-0000-00007A020000}"/>
    <cellStyle name="0_!!!GO_10QSEP 2004 v7_Detailed Conso july 2005_Management accounts 2006(UPDATED)" xfId="1220" xr:uid="{00000000-0005-0000-0000-00007B020000}"/>
    <cellStyle name="0_!!!GO_10QSEP 2004 v7_FA2005schedule" xfId="1221" xr:uid="{00000000-0005-0000-0000-00007C020000}"/>
    <cellStyle name="0_!!!GO_10QSEP 2004 v7_Grand US workings December 2005" xfId="1222" xr:uid="{00000000-0005-0000-0000-00007D020000}"/>
    <cellStyle name="0_!!!GO_10QSEP 2004 v7_Grand US workings December 2005_Book1" xfId="1223" xr:uid="{00000000-0005-0000-0000-00007E020000}"/>
    <cellStyle name="0_!!!GO_10QSEP 2004 v7_Grand US workings December 2005_Consolidation_2006_Summary (v2) (1)" xfId="1224" xr:uid="{00000000-0005-0000-0000-00007F020000}"/>
    <cellStyle name="0_!!!GO_10QSEP 2004 v7_Grand US workings December 2005_Consolidation_2006_Summary (v3)" xfId="1225" xr:uid="{00000000-0005-0000-0000-000080020000}"/>
    <cellStyle name="0_!!!GO_10QSEP 2004 v7_Grand US workings December 2005_Consolidation_2006_Summary audit" xfId="1226" xr:uid="{00000000-0005-0000-0000-000081020000}"/>
    <cellStyle name="0_!!!GO_10QSEP 2004 v7_Grand US workings December 2005_Consolidation_2006_Summary auditBS &amp; PL" xfId="1227" xr:uid="{00000000-0005-0000-0000-000082020000}"/>
    <cellStyle name="0_!!!GO_10QSEP 2004 v7_Grand US workings December 2005_DeferredTaxLiabilitiesOnFixedAssets" xfId="1228" xr:uid="{00000000-0005-0000-0000-000083020000}"/>
    <cellStyle name="0_!!!GO_10QSEP 2004 v7_Grand US workings December 2005_Management accounts 2006(UPDATED)" xfId="1229" xr:uid="{00000000-0005-0000-0000-000084020000}"/>
    <cellStyle name="0_!!!GO_10QSEP 2004 v7_Grand US workings June2005" xfId="1230" xr:uid="{00000000-0005-0000-0000-000085020000}"/>
    <cellStyle name="0_!!!GO_10QSEP 2004 v7_Grand US workings June2005_Book1" xfId="1231" xr:uid="{00000000-0005-0000-0000-000086020000}"/>
    <cellStyle name="0_!!!GO_10QSEP 2004 v7_Grand US workings June2005_Consolidation_2006_Summary (v2) (1)" xfId="1232" xr:uid="{00000000-0005-0000-0000-000087020000}"/>
    <cellStyle name="0_!!!GO_10QSEP 2004 v7_Grand US workings June2005_Consolidation_2006_Summary (v3)" xfId="1233" xr:uid="{00000000-0005-0000-0000-000088020000}"/>
    <cellStyle name="0_!!!GO_10QSEP 2004 v7_Grand US workings June2005_Consolidation_2006_Summary audit" xfId="1234" xr:uid="{00000000-0005-0000-0000-000089020000}"/>
    <cellStyle name="0_!!!GO_10QSEP 2004 v7_Grand US workings June2005_Consolidation_2006_Summary auditBS &amp; PL" xfId="1235" xr:uid="{00000000-0005-0000-0000-00008A020000}"/>
    <cellStyle name="0_!!!GO_10QSEP 2004 v7_Grand US workings June2005_DeferredTaxLiabilitiesOnFixedAssets" xfId="1236" xr:uid="{00000000-0005-0000-0000-00008B020000}"/>
    <cellStyle name="0_!!!GO_10QSEP 2004 v7_Grand US workings June2005_Management accounts 2006(UPDATED)" xfId="1237" xr:uid="{00000000-0005-0000-0000-00008C020000}"/>
    <cellStyle name="0_!!!GO_10QSEP 2004 v7_Grand US workings June2005_V10Workings to notes to 6-k June05 (2)" xfId="1238" xr:uid="{00000000-0005-0000-0000-00008D020000}"/>
    <cellStyle name="0_!!!GO_10QSEP 2004 v7_HUAYANGv5(revised by dy)  wORKINGS TO nOITE DEC 3104" xfId="1239" xr:uid="{00000000-0005-0000-0000-00008E020000}"/>
    <cellStyle name="0_!!!GO_10QSEP 2004 v7_HUAYANGWorkings to notes to 6-k FY2005-Consol" xfId="1240" xr:uid="{00000000-0005-0000-0000-00008F020000}"/>
    <cellStyle name="0_!!!GO_10QSEP 2004 v7_Inventory  AR March 31 2005" xfId="1241" xr:uid="{00000000-0005-0000-0000-000090020000}"/>
    <cellStyle name="0_!!!GO_10QSEP 2004 v7_IS Format - GTL -aug2004" xfId="1242" xr:uid="{00000000-0005-0000-0000-000091020000}"/>
    <cellStyle name="0_!!!GO_10QSEP 2004 v7_IS Format - GTL -aug2004_Book1" xfId="1243" xr:uid="{00000000-0005-0000-0000-000092020000}"/>
    <cellStyle name="0_!!!GO_10QSEP 2004 v7_IS Format - GTL -aug2004_Consolidation_2006_Summary (v2) (1)" xfId="1244" xr:uid="{00000000-0005-0000-0000-000093020000}"/>
    <cellStyle name="0_!!!GO_10QSEP 2004 v7_IS Format - GTL -aug2004_Consolidation_2006_Summary (v3)" xfId="1245" xr:uid="{00000000-0005-0000-0000-000094020000}"/>
    <cellStyle name="0_!!!GO_10QSEP 2004 v7_IS Format - GTL -aug2004_Consolidation_2006_Summary audit" xfId="1246" xr:uid="{00000000-0005-0000-0000-000095020000}"/>
    <cellStyle name="0_!!!GO_10QSEP 2004 v7_IS Format - GTL -aug2004_Consolidation_2006_Summary auditBS &amp; PL" xfId="1247" xr:uid="{00000000-0005-0000-0000-000096020000}"/>
    <cellStyle name="0_!!!GO_10QSEP 2004 v7_IS Format - GTL -aug2004_DeferredTaxLiabilitiesOnFixedAssets" xfId="1248" xr:uid="{00000000-0005-0000-0000-000097020000}"/>
    <cellStyle name="0_!!!GO_10QSEP 2004 v7_IS Format - GTL -aug2004_Management accounts 2006(UPDATED)" xfId="1249" xr:uid="{00000000-0005-0000-0000-000098020000}"/>
    <cellStyle name="0_!!!GO_10QSEP 2004 v7_KD(5) Workings to notes to 6-k 2005_v17.3.06" xfId="1250" xr:uid="{00000000-0005-0000-0000-000099020000}"/>
    <cellStyle name="0_!!!GO_10QSEP 2004 v7_KORD Workings to notes to 6-k 2005_v17.3.06" xfId="1251" xr:uid="{00000000-0005-0000-0000-00009A020000}"/>
    <cellStyle name="0_!!!GO_10QSEP 2004 v7_NOTES TO CASH" xfId="1252" xr:uid="{00000000-0005-0000-0000-00009B020000}"/>
    <cellStyle name="0_!!!GO_10QSEP 2004 v7_October 2005BLANK(PLAYWELL)Workings to notes to 6-k Sept05" xfId="1253" xr:uid="{00000000-0005-0000-0000-00009C020000}"/>
    <cellStyle name="0_!!!GO_10QSEP 2004 v7_OPTIONS  RECAPjune10,2005updated" xfId="1254" xr:uid="{00000000-0005-0000-0000-00009D020000}"/>
    <cellStyle name="0_!!!GO_10QSEP 2004 v7_OPTIONS  RECAPjune10,2005updated_Book1" xfId="1255" xr:uid="{00000000-0005-0000-0000-00009E020000}"/>
    <cellStyle name="0_!!!GO_10QSEP 2004 v7_OPTIONS  RECAPjune10,2005updated_Consolidation_2006_Summary (v2) (1)" xfId="1256" xr:uid="{00000000-0005-0000-0000-00009F020000}"/>
    <cellStyle name="0_!!!GO_10QSEP 2004 v7_OPTIONS  RECAPjune10,2005updated_Consolidation_2006_Summary (v3)" xfId="1257" xr:uid="{00000000-0005-0000-0000-0000A0020000}"/>
    <cellStyle name="0_!!!GO_10QSEP 2004 v7_OPTIONS  RECAPjune10,2005updated_Consolidation_2006_Summary audit" xfId="1258" xr:uid="{00000000-0005-0000-0000-0000A1020000}"/>
    <cellStyle name="0_!!!GO_10QSEP 2004 v7_OPTIONS  RECAPjune10,2005updated_Consolidation_2006_Summary auditBS &amp; PL" xfId="1259" xr:uid="{00000000-0005-0000-0000-0000A2020000}"/>
    <cellStyle name="0_!!!GO_10QSEP 2004 v7_OPTIONS  RECAPjune10,2005updated_DeferredTaxLiabilitiesOnFixedAssets" xfId="1260" xr:uid="{00000000-0005-0000-0000-0000A3020000}"/>
    <cellStyle name="0_!!!GO_10QSEP 2004 v7_OPTIONS  RECAPjune10,2005updated_Management accounts 2006(UPDATED)" xfId="1261" xr:uid="{00000000-0005-0000-0000-0000A4020000}"/>
    <cellStyle name="0_!!!GO_10QSEP 2004 v7_OPTIONS  RECAPjune10,2005updated_V10Workings to notes to 6-k June05 (2)" xfId="1262" xr:uid="{00000000-0005-0000-0000-0000A5020000}"/>
    <cellStyle name="0_!!!GO_10QSEP 2004 v7_PIL RPT movements" xfId="1263" xr:uid="{00000000-0005-0000-0000-0000A6020000}"/>
    <cellStyle name="0_!!!GO_10QSEP 2004 v7_PLAYWELL Workings to notes to 6-k Dec 05" xfId="1264" xr:uid="{00000000-0005-0000-0000-0000A7020000}"/>
    <cellStyle name="0_!!!GO_10QSEP 2004 v7_PLAYWELL Workings to notes to 6-k June04" xfId="1265" xr:uid="{00000000-0005-0000-0000-0000A8020000}"/>
    <cellStyle name="0_!!!GO_10QSEP 2004 v7_Rpt, AGING, product lines" xfId="1266" xr:uid="{00000000-0005-0000-0000-0000A9020000}"/>
    <cellStyle name="0_!!!GO_10QSEP 2004 v7_Sheet2" xfId="1267" xr:uid="{00000000-0005-0000-0000-0000AA020000}"/>
    <cellStyle name="0_!!!GO_10QSEP 2004 v7_Sheet3" xfId="1268" xr:uid="{00000000-0005-0000-0000-0000AB020000}"/>
    <cellStyle name="0_!!!GO_10QSEP 2004 v7_Sheet4" xfId="1269" xr:uid="{00000000-0005-0000-0000-0000AC020000}"/>
    <cellStyle name="0_!!!GO_10QSEP 2004 v7_Top Lines (AC)" xfId="1270" xr:uid="{00000000-0005-0000-0000-0000AD020000}"/>
    <cellStyle name="0_!!!GO_10QSEP 2004 v7_V1 Dec 2005  1" xfId="1271" xr:uid="{00000000-0005-0000-0000-0000AE020000}"/>
    <cellStyle name="0_!!!GO_10QSEP 2004 v7_V1 July05 " xfId="1272" xr:uid="{00000000-0005-0000-0000-0000AF020000}"/>
    <cellStyle name="0_!!!GO_10QSEP 2004 v7_V10Workings to notes to 6-k June05 (2)" xfId="1273" xr:uid="{00000000-0005-0000-0000-0000B0020000}"/>
    <cellStyle name="0_!!!GO_10QSEP 2004 v7_V11workings to notes to 2004 inc HY and KD1" xfId="1274" xr:uid="{00000000-0005-0000-0000-0000B1020000}"/>
    <cellStyle name="0_!!!GO_10QSEP 2004 v7_V11workings to notes to 2004 inc HY and KD1_Book1" xfId="1275" xr:uid="{00000000-0005-0000-0000-0000B2020000}"/>
    <cellStyle name="0_!!!GO_10QSEP 2004 v7_V11workings to notes to 2004 inc HY and KD1_Consolidation_2006_Summary (v2) (1)" xfId="1276" xr:uid="{00000000-0005-0000-0000-0000B3020000}"/>
    <cellStyle name="0_!!!GO_10QSEP 2004 v7_V11workings to notes to 2004 inc HY and KD1_Consolidation_2006_Summary (v3)" xfId="1277" xr:uid="{00000000-0005-0000-0000-0000B4020000}"/>
    <cellStyle name="0_!!!GO_10QSEP 2004 v7_V11workings to notes to 2004 inc HY and KD1_Consolidation_2006_Summary audit" xfId="1278" xr:uid="{00000000-0005-0000-0000-0000B5020000}"/>
    <cellStyle name="0_!!!GO_10QSEP 2004 v7_V11workings to notes to 2004 inc HY and KD1_Consolidation_2006_Summary auditBS &amp; PL" xfId="1279" xr:uid="{00000000-0005-0000-0000-0000B6020000}"/>
    <cellStyle name="0_!!!GO_10QSEP 2004 v7_V11workings to notes to 2004 inc HY and KD1_DeferredTaxLiabilitiesOnFixedAssets" xfId="1280" xr:uid="{00000000-0005-0000-0000-0000B7020000}"/>
    <cellStyle name="0_!!!GO_10QSEP 2004 v7_V11workings to notes to 2004 inc HY and KD1_Management accounts 2006(UPDATED)" xfId="1281" xr:uid="{00000000-0005-0000-0000-0000B8020000}"/>
    <cellStyle name="0_!!!GO_10QSEP 2004 v7_V14 Dec 2005  1" xfId="1282" xr:uid="{00000000-0005-0000-0000-0000B9020000}"/>
    <cellStyle name="0_!!!GO_10QSEP 2004 v7_V18 Dec 2005 TC" xfId="1283" xr:uid="{00000000-0005-0000-0000-0000BA020000}"/>
    <cellStyle name="0_!!!GO_10QSEP 2004 v7_V29workings to notes to 2004 inc HY and KD1(1)" xfId="1284" xr:uid="{00000000-0005-0000-0000-0000BB020000}"/>
    <cellStyle name="0_!!!GO_10QSEP 2004 v7_V29workings to notes to 2004 inc HY and KD1(1)_Book1" xfId="1285" xr:uid="{00000000-0005-0000-0000-0000BC020000}"/>
    <cellStyle name="0_!!!GO_10QSEP 2004 v7_V29workings to notes to 2004 inc HY and KD1(1)_Consolidation_2006_Summary (v2) (1)" xfId="1286" xr:uid="{00000000-0005-0000-0000-0000BD020000}"/>
    <cellStyle name="0_!!!GO_10QSEP 2004 v7_V29workings to notes to 2004 inc HY and KD1(1)_Consolidation_2006_Summary (v3)" xfId="1287" xr:uid="{00000000-0005-0000-0000-0000BE020000}"/>
    <cellStyle name="0_!!!GO_10QSEP 2004 v7_V29workings to notes to 2004 inc HY and KD1(1)_Consolidation_2006_Summary audit" xfId="1288" xr:uid="{00000000-0005-0000-0000-0000BF020000}"/>
    <cellStyle name="0_!!!GO_10QSEP 2004 v7_V29workings to notes to 2004 inc HY and KD1(1)_Consolidation_2006_Summary auditBS &amp; PL" xfId="1289" xr:uid="{00000000-0005-0000-0000-0000C0020000}"/>
    <cellStyle name="0_!!!GO_10QSEP 2004 v7_V29workings to notes to 2004 inc HY and KD1(1)_DeferredTaxLiabilitiesOnFixedAssets" xfId="1290" xr:uid="{00000000-0005-0000-0000-0000C1020000}"/>
    <cellStyle name="0_!!!GO_10QSEP 2004 v7_V29workings to notes to 2004 inc HY and KD1(1)_Management accounts 2006(UPDATED)" xfId="1291" xr:uid="{00000000-0005-0000-0000-0000C2020000}"/>
    <cellStyle name="0_!!!GO_10QSEP 2004 v7_V2BLANK(PLAYWELL)Workings to notes to 6-k June05" xfId="1292" xr:uid="{00000000-0005-0000-0000-0000C3020000}"/>
    <cellStyle name="0_!!!GO_10QSEP 2004 v7_V2Dec 2005  1" xfId="1293" xr:uid="{00000000-0005-0000-0000-0000C4020000}"/>
    <cellStyle name="0_!!!GO_10QSEP 2004 v7_V2DSep2005 " xfId="1294" xr:uid="{00000000-0005-0000-0000-0000C5020000}"/>
    <cellStyle name="0_!!!GO_10QSEP 2004 v7_V2FSep2005 tc" xfId="1295" xr:uid="{00000000-0005-0000-0000-0000C6020000}"/>
    <cellStyle name="0_!!!GO_10QSEP 2004 v7_V2ISep2005 " xfId="1296" xr:uid="{00000000-0005-0000-0000-0000C7020000}"/>
    <cellStyle name="0_!!!GO_10QSEP 2004 v7_V2October 19 05Workings to notes to 6-k Sept05" xfId="1297" xr:uid="{00000000-0005-0000-0000-0000C8020000}"/>
    <cellStyle name="0_!!!GO_10QSEP 2004 v7_V30workings to notes to 2004 inc HY and KD1(1)" xfId="1298" xr:uid="{00000000-0005-0000-0000-0000C9020000}"/>
    <cellStyle name="0_!!!GO_10QSEP 2004 v7_V30workings to notes to 2004 inc HY and KD1(1)_Book1" xfId="1299" xr:uid="{00000000-0005-0000-0000-0000CA020000}"/>
    <cellStyle name="0_!!!GO_10QSEP 2004 v7_V30workings to notes to 2004 inc HY and KD1(1)_Consolidation_2006_Summary (v2) (1)" xfId="1300" xr:uid="{00000000-0005-0000-0000-0000CB020000}"/>
    <cellStyle name="0_!!!GO_10QSEP 2004 v7_V30workings to notes to 2004 inc HY and KD1(1)_Consolidation_2006_Summary (v3)" xfId="1301" xr:uid="{00000000-0005-0000-0000-0000CC020000}"/>
    <cellStyle name="0_!!!GO_10QSEP 2004 v7_V30workings to notes to 2004 inc HY and KD1(1)_Consolidation_2006_Summary audit" xfId="1302" xr:uid="{00000000-0005-0000-0000-0000CD020000}"/>
    <cellStyle name="0_!!!GO_10QSEP 2004 v7_V30workings to notes to 2004 inc HY and KD1(1)_Consolidation_2006_Summary auditBS &amp; PL" xfId="1303" xr:uid="{00000000-0005-0000-0000-0000CE020000}"/>
    <cellStyle name="0_!!!GO_10QSEP 2004 v7_V30workings to notes to 2004 inc HY and KD1(1)_DeferredTaxLiabilitiesOnFixedAssets" xfId="1304" xr:uid="{00000000-0005-0000-0000-0000CF020000}"/>
    <cellStyle name="0_!!!GO_10QSEP 2004 v7_V30workings to notes to 2004 inc HY and KD1(1)_Management accounts 2006(UPDATED)" xfId="1305" xr:uid="{00000000-0005-0000-0000-0000D0020000}"/>
    <cellStyle name="0_!!!GO_10QSEP 2004 v7_V31 Dec 2005 " xfId="1306" xr:uid="{00000000-0005-0000-0000-0000D1020000}"/>
    <cellStyle name="0_!!!GO_10QSEP 2004 v7_V31(2) Dec 2005 (2)" xfId="1307" xr:uid="{00000000-0005-0000-0000-0000D2020000}"/>
    <cellStyle name="0_!!!GO_10QSEP 2004 v7_V32(2) (2004)" xfId="1308" xr:uid="{00000000-0005-0000-0000-0000D3020000}"/>
    <cellStyle name="0_!!!GO_10QSEP 2004 v7_V32(2) (2004)_Consolidation_2006_Summary (v2) (1)" xfId="1309" xr:uid="{00000000-0005-0000-0000-0000D4020000}"/>
    <cellStyle name="0_!!!GO_10QSEP 2004 v7_V32(2) (2004)_Consolidation_2006_Summary (v3)" xfId="1310" xr:uid="{00000000-0005-0000-0000-0000D5020000}"/>
    <cellStyle name="0_!!!GO_10QSEP 2004 v7_V32(2) (2004)_Consolidation_2006_Summary audit" xfId="1311" xr:uid="{00000000-0005-0000-0000-0000D6020000}"/>
    <cellStyle name="0_!!!GO_10QSEP 2004 v7_V32(2) (2004)_Consolidation_2006_Summary auditBS &amp; PL" xfId="1312" xr:uid="{00000000-0005-0000-0000-0000D7020000}"/>
    <cellStyle name="0_!!!GO_10QSEP 2004 v7_V32(2) (2004)_Management accounts 2006(UPDATED)" xfId="1313" xr:uid="{00000000-0005-0000-0000-0000D8020000}"/>
    <cellStyle name="0_!!!GO_10QSEP 2004 v7_V32(3) (2004)" xfId="1314" xr:uid="{00000000-0005-0000-0000-0000D9020000}"/>
    <cellStyle name="0_!!!GO_10QSEP 2004 v7_V32(3) (2004)_Consolidation_2006_Summary (v2) (1)" xfId="1315" xr:uid="{00000000-0005-0000-0000-0000DA020000}"/>
    <cellStyle name="0_!!!GO_10QSEP 2004 v7_V32(3) (2004)_Consolidation_2006_Summary (v3)" xfId="1316" xr:uid="{00000000-0005-0000-0000-0000DB020000}"/>
    <cellStyle name="0_!!!GO_10QSEP 2004 v7_V32(3) (2004)_Consolidation_2006_Summary audit" xfId="1317" xr:uid="{00000000-0005-0000-0000-0000DC020000}"/>
    <cellStyle name="0_!!!GO_10QSEP 2004 v7_V32(3) (2004)_Consolidation_2006_Summary auditBS &amp; PL" xfId="1318" xr:uid="{00000000-0005-0000-0000-0000DD020000}"/>
    <cellStyle name="0_!!!GO_10QSEP 2004 v7_V32(3) (2004)_Management accounts 2006(UPDATED)" xfId="1319" xr:uid="{00000000-0005-0000-0000-0000DE020000}"/>
    <cellStyle name="0_!!!GO_10QSEP 2004 v7_V32(7) (2004)fixed as per DTT" xfId="1320" xr:uid="{00000000-0005-0000-0000-0000DF020000}"/>
    <cellStyle name="0_!!!GO_10QSEP 2004 v7_V32(7) (2004)fixed as per DTT_Consolidation_2006_Summary (v2) (1)" xfId="1321" xr:uid="{00000000-0005-0000-0000-0000E0020000}"/>
    <cellStyle name="0_!!!GO_10QSEP 2004 v7_V32(7) (2004)fixed as per DTT_Consolidation_2006_Summary (v3)" xfId="1322" xr:uid="{00000000-0005-0000-0000-0000E1020000}"/>
    <cellStyle name="0_!!!GO_10QSEP 2004 v7_V32(7) (2004)fixed as per DTT_Consolidation_2006_Summary audit" xfId="1323" xr:uid="{00000000-0005-0000-0000-0000E2020000}"/>
    <cellStyle name="0_!!!GO_10QSEP 2004 v7_V32(7) (2004)fixed as per DTT_Consolidation_2006_Summary auditBS &amp; PL" xfId="1324" xr:uid="{00000000-0005-0000-0000-0000E3020000}"/>
    <cellStyle name="0_!!!GO_10QSEP 2004 v7_V32(7) (2004)fixed as per DTT_Management accounts 2006(UPDATED)" xfId="1325" xr:uid="{00000000-0005-0000-0000-0000E4020000}"/>
    <cellStyle name="0_!!!GO_10QSEP 2004 v7_V32(9) DTT(2004)as per DTTNov 1306" xfId="1326" xr:uid="{00000000-0005-0000-0000-0000E5020000}"/>
    <cellStyle name="0_!!!GO_10QSEP 2004 v7_V32(9) DTT(2004)as per DTTNov 1306_Consolidation_2006_Summary (v2) (1)" xfId="1327" xr:uid="{00000000-0005-0000-0000-0000E6020000}"/>
    <cellStyle name="0_!!!GO_10QSEP 2004 v7_V32(9) DTT(2004)as per DTTNov 1306_Consolidation_2006_Summary (v3)" xfId="1328" xr:uid="{00000000-0005-0000-0000-0000E7020000}"/>
    <cellStyle name="0_!!!GO_10QSEP 2004 v7_V32(9) DTT(2004)as per DTTNov 1306_Consolidation_2006_Summary audit" xfId="1329" xr:uid="{00000000-0005-0000-0000-0000E8020000}"/>
    <cellStyle name="0_!!!GO_10QSEP 2004 v7_V32(9) DTT(2004)as per DTTNov 1306_Consolidation_2006_Summary auditBS &amp; PL" xfId="1330" xr:uid="{00000000-0005-0000-0000-0000E9020000}"/>
    <cellStyle name="0_!!!GO_10QSEP 2004 v7_V32(9) DTT(2004)as per DTTNov 1306_Management accounts 2006(UPDATED)" xfId="1331" xr:uid="{00000000-0005-0000-0000-0000EA020000}"/>
    <cellStyle name="0_!!!GO_10QSEP 2004 v7_V38(5)(2005) " xfId="1332" xr:uid="{00000000-0005-0000-0000-0000EB020000}"/>
    <cellStyle name="0_!!!GO_10QSEP 2004 v7_V38(8)(2005)fixed as per DTT " xfId="1333" xr:uid="{00000000-0005-0000-0000-0000EC020000}"/>
    <cellStyle name="0_!!!GO_10QSEP 2004 v7_V39(2005) " xfId="1334" xr:uid="{00000000-0005-0000-0000-0000ED020000}"/>
    <cellStyle name="0_!!!GO_10QSEP 2004 v7_v3march1705KORD Workings to notes to 6-k 2004_v17.3.06" xfId="1335" xr:uid="{00000000-0005-0000-0000-0000EE020000}"/>
    <cellStyle name="0_!!!GO_10QSEP 2004 v7_V4Dec 2005  1" xfId="1336" xr:uid="{00000000-0005-0000-0000-0000EF020000}"/>
    <cellStyle name="0_!!!GO_10QSEP 2004 v7_V8TCWorkings to notes to 6-k June05" xfId="1337" xr:uid="{00000000-0005-0000-0000-0000F0020000}"/>
    <cellStyle name="0_!!!GO_10QSEP 2004 v7_Workings to notes to 20F" xfId="1338" xr:uid="{00000000-0005-0000-0000-0000F1020000}"/>
    <cellStyle name="0_!!!GO_10QSEP 2004 v7_Workings to notes to 20F(v3)" xfId="1339" xr:uid="{00000000-0005-0000-0000-0000F2020000}"/>
    <cellStyle name="0_!!!GO_10QSEP 2004 v7_Workings to notes to 20F_(3)Grand US workings December 2005" xfId="1340" xr:uid="{00000000-0005-0000-0000-0000F3020000}"/>
    <cellStyle name="0_!!!GO_10QSEP 2004 v7_Workings to notes to 20F_(3)Grand US workings December 2005_Book1" xfId="1341" xr:uid="{00000000-0005-0000-0000-0000F4020000}"/>
    <cellStyle name="0_!!!GO_10QSEP 2004 v7_Workings to notes to 20F_(3)Grand US workings December 2005_Consolidation_2006_Summary (v2) (1)" xfId="1342" xr:uid="{00000000-0005-0000-0000-0000F5020000}"/>
    <cellStyle name="0_!!!GO_10QSEP 2004 v7_Workings to notes to 20F_(3)Grand US workings December 2005_Consolidation_2006_Summary (v3)" xfId="1343" xr:uid="{00000000-0005-0000-0000-0000F6020000}"/>
    <cellStyle name="0_!!!GO_10QSEP 2004 v7_Workings to notes to 20F_(3)Grand US workings December 2005_Consolidation_2006_Summary audit" xfId="1344" xr:uid="{00000000-0005-0000-0000-0000F7020000}"/>
    <cellStyle name="0_!!!GO_10QSEP 2004 v7_Workings to notes to 20F_(3)Grand US workings December 2005_Consolidation_2006_Summary auditBS &amp; PL" xfId="1345" xr:uid="{00000000-0005-0000-0000-0000F8020000}"/>
    <cellStyle name="0_!!!GO_10QSEP 2004 v7_Workings to notes to 20F_(3)Grand US workings December 2005_DeferredTaxLiabilitiesOnFixedAssets" xfId="1346" xr:uid="{00000000-0005-0000-0000-0000F9020000}"/>
    <cellStyle name="0_!!!GO_10QSEP 2004 v7_Workings to notes to 20F_(3)Grand US workings December 2005_Management accounts 2006(UPDATED)" xfId="1347" xr:uid="{00000000-0005-0000-0000-0000FA020000}"/>
    <cellStyle name="0_!!!GO_10QSEP 2004 v7_Workings to notes to 20F_A2PLAYWELLWorkings to notes to 6-k Dec 051" xfId="1348" xr:uid="{00000000-0005-0000-0000-0000FB020000}"/>
    <cellStyle name="0_!!!GO_10QSEP 2004 v7_Workings to notes to 20F_BLANK(iNT pLAY))(2)Workings to notes to 6-k September051" xfId="1349" xr:uid="{00000000-0005-0000-0000-0000FC020000}"/>
    <cellStyle name="0_!!!GO_10QSEP 2004 v7_Workings to notes to 20F_BLANK(iNT pLAY))Workings to notes to 6-k June05" xfId="1350" xr:uid="{00000000-0005-0000-0000-0000FD020000}"/>
    <cellStyle name="0_!!!GO_10QSEP 2004 v7_Workings to notes to 20F_Book1" xfId="1351" xr:uid="{00000000-0005-0000-0000-0000FE020000}"/>
    <cellStyle name="0_!!!GO_10QSEP 2004 v7_Workings to notes to 20F_cashflow05K01" xfId="1352" xr:uid="{00000000-0005-0000-0000-0000FF020000}"/>
    <cellStyle name="0_!!!GO_10QSEP 2004 v7_Workings to notes to 20F_consolidation entries 2004" xfId="1353" xr:uid="{00000000-0005-0000-0000-000000030000}"/>
    <cellStyle name="0_!!!GO_10QSEP 2004 v7_Workings to notes to 20F_consolidation entries 2004_Consolidation_2006_Summary (v2) (1)" xfId="1354" xr:uid="{00000000-0005-0000-0000-000001030000}"/>
    <cellStyle name="0_!!!GO_10QSEP 2004 v7_Workings to notes to 20F_consolidation entries 2004_Consolidation_2006_Summary (v3)" xfId="1355" xr:uid="{00000000-0005-0000-0000-000002030000}"/>
    <cellStyle name="0_!!!GO_10QSEP 2004 v7_Workings to notes to 20F_consolidation entries 2004_Consolidation_2006_Summary audit" xfId="1356" xr:uid="{00000000-0005-0000-0000-000003030000}"/>
    <cellStyle name="0_!!!GO_10QSEP 2004 v7_Workings to notes to 20F_consolidation entries 2004_Consolidation_2006_Summary auditBS &amp; PL" xfId="1357" xr:uid="{00000000-0005-0000-0000-000004030000}"/>
    <cellStyle name="0_!!!GO_10QSEP 2004 v7_Workings to notes to 20F_consolidation entries 2004_Management accounts 2006(UPDATED)" xfId="1358" xr:uid="{00000000-0005-0000-0000-000005030000}"/>
    <cellStyle name="0_!!!GO_10QSEP 2004 v7_Workings to notes to 20F_corporate tax entry allocation" xfId="1359" xr:uid="{00000000-0005-0000-0000-000006030000}"/>
    <cellStyle name="0_!!!GO_10QSEP 2004 v7_Workings to notes to 20F_DeferredTaxLiabilitiesOnFixedAssets" xfId="1360" xr:uid="{00000000-0005-0000-0000-000007030000}"/>
    <cellStyle name="0_!!!GO_10QSEP 2004 v7_Workings to notes to 20F_Detailed Conso july 2005" xfId="1361" xr:uid="{00000000-0005-0000-0000-000008030000}"/>
    <cellStyle name="0_!!!GO_10QSEP 2004 v7_Workings to notes to 20F_Detailed Conso july 2005_Book1" xfId="1362" xr:uid="{00000000-0005-0000-0000-000009030000}"/>
    <cellStyle name="0_!!!GO_10QSEP 2004 v7_Workings to notes to 20F_Detailed Conso july 2005_Consolidation_2006_Summary (v2) (1)" xfId="1363" xr:uid="{00000000-0005-0000-0000-00000A030000}"/>
    <cellStyle name="0_!!!GO_10QSEP 2004 v7_Workings to notes to 20F_Detailed Conso july 2005_Consolidation_2006_Summary (v3)" xfId="1364" xr:uid="{00000000-0005-0000-0000-00000B030000}"/>
    <cellStyle name="0_!!!GO_10QSEP 2004 v7_Workings to notes to 20F_Detailed Conso july 2005_Consolidation_2006_Summary audit" xfId="1365" xr:uid="{00000000-0005-0000-0000-00000C030000}"/>
    <cellStyle name="0_!!!GO_10QSEP 2004 v7_Workings to notes to 20F_Detailed Conso july 2005_Consolidation_2006_Summary auditBS &amp; PL" xfId="1366" xr:uid="{00000000-0005-0000-0000-00000D030000}"/>
    <cellStyle name="0_!!!GO_10QSEP 2004 v7_Workings to notes to 20F_Detailed Conso july 2005_DeferredTaxLiabilitiesOnFixedAssets" xfId="1367" xr:uid="{00000000-0005-0000-0000-00000E030000}"/>
    <cellStyle name="0_!!!GO_10QSEP 2004 v7_Workings to notes to 20F_Detailed Conso july 2005_Management accounts 2006(UPDATED)" xfId="1368" xr:uid="{00000000-0005-0000-0000-00000F030000}"/>
    <cellStyle name="0_!!!GO_10QSEP 2004 v7_Workings to notes to 20F_FA2005schedule" xfId="1369" xr:uid="{00000000-0005-0000-0000-000010030000}"/>
    <cellStyle name="0_!!!GO_10QSEP 2004 v7_Workings to notes to 20F_Grand US workings December 2005" xfId="1370" xr:uid="{00000000-0005-0000-0000-000011030000}"/>
    <cellStyle name="0_!!!GO_10QSEP 2004 v7_Workings to notes to 20F_Grand US workings December 2005_Book1" xfId="1371" xr:uid="{00000000-0005-0000-0000-000012030000}"/>
    <cellStyle name="0_!!!GO_10QSEP 2004 v7_Workings to notes to 20F_Grand US workings December 2005_Consolidation_2006_Summary (v2) (1)" xfId="1372" xr:uid="{00000000-0005-0000-0000-000013030000}"/>
    <cellStyle name="0_!!!GO_10QSEP 2004 v7_Workings to notes to 20F_Grand US workings December 2005_Consolidation_2006_Summary (v3)" xfId="1373" xr:uid="{00000000-0005-0000-0000-000014030000}"/>
    <cellStyle name="0_!!!GO_10QSEP 2004 v7_Workings to notes to 20F_Grand US workings December 2005_Consolidation_2006_Summary audit" xfId="1374" xr:uid="{00000000-0005-0000-0000-000015030000}"/>
    <cellStyle name="0_!!!GO_10QSEP 2004 v7_Workings to notes to 20F_Grand US workings December 2005_Consolidation_2006_Summary auditBS &amp; PL" xfId="1375" xr:uid="{00000000-0005-0000-0000-000016030000}"/>
    <cellStyle name="0_!!!GO_10QSEP 2004 v7_Workings to notes to 20F_Grand US workings December 2005_DeferredTaxLiabilitiesOnFixedAssets" xfId="1376" xr:uid="{00000000-0005-0000-0000-000017030000}"/>
    <cellStyle name="0_!!!GO_10QSEP 2004 v7_Workings to notes to 20F_Grand US workings December 2005_Management accounts 2006(UPDATED)" xfId="1377" xr:uid="{00000000-0005-0000-0000-000018030000}"/>
    <cellStyle name="0_!!!GO_10QSEP 2004 v7_Workings to notes to 20F_Grand US workings June2005" xfId="1378" xr:uid="{00000000-0005-0000-0000-000019030000}"/>
    <cellStyle name="0_!!!GO_10QSEP 2004 v7_Workings to notes to 20F_Grand US workings June2005_Book1" xfId="1379" xr:uid="{00000000-0005-0000-0000-00001A030000}"/>
    <cellStyle name="0_!!!GO_10QSEP 2004 v7_Workings to notes to 20F_Grand US workings June2005_Consolidation_2006_Summary (v2) (1)" xfId="1380" xr:uid="{00000000-0005-0000-0000-00001B030000}"/>
    <cellStyle name="0_!!!GO_10QSEP 2004 v7_Workings to notes to 20F_Grand US workings June2005_Consolidation_2006_Summary (v3)" xfId="1381" xr:uid="{00000000-0005-0000-0000-00001C030000}"/>
    <cellStyle name="0_!!!GO_10QSEP 2004 v7_Workings to notes to 20F_Grand US workings June2005_Consolidation_2006_Summary audit" xfId="1382" xr:uid="{00000000-0005-0000-0000-00001D030000}"/>
    <cellStyle name="0_!!!GO_10QSEP 2004 v7_Workings to notes to 20F_Grand US workings June2005_Consolidation_2006_Summary auditBS &amp; PL" xfId="1383" xr:uid="{00000000-0005-0000-0000-00001E030000}"/>
    <cellStyle name="0_!!!GO_10QSEP 2004 v7_Workings to notes to 20F_Grand US workings June2005_DeferredTaxLiabilitiesOnFixedAssets" xfId="1384" xr:uid="{00000000-0005-0000-0000-00001F030000}"/>
    <cellStyle name="0_!!!GO_10QSEP 2004 v7_Workings to notes to 20F_Grand US workings June2005_Management accounts 2006(UPDATED)" xfId="1385" xr:uid="{00000000-0005-0000-0000-000020030000}"/>
    <cellStyle name="0_!!!GO_10QSEP 2004 v7_Workings to notes to 20F_Grand US workings June2005_V10Workings to notes to 6-k June05 (2)" xfId="1386" xr:uid="{00000000-0005-0000-0000-000021030000}"/>
    <cellStyle name="0_!!!GO_10QSEP 2004 v7_Workings to notes to 20F_HUAYANGv5(revised by dy)  wORKINGS TO nOITE DEC 3104" xfId="1387" xr:uid="{00000000-0005-0000-0000-000022030000}"/>
    <cellStyle name="0_!!!GO_10QSEP 2004 v7_Workings to notes to 20F_HUAYANGWorkings to notes to 6-k FY2005-Consol" xfId="1388" xr:uid="{00000000-0005-0000-0000-000023030000}"/>
    <cellStyle name="0_!!!GO_10QSEP 2004 v7_Workings to notes to 20F_Inventory  AR March 31 2005" xfId="1389" xr:uid="{00000000-0005-0000-0000-000024030000}"/>
    <cellStyle name="0_!!!GO_10QSEP 2004 v7_Workings to notes to 20F_KD(5) Workings to notes to 6-k 2005_v17.3.06" xfId="1390" xr:uid="{00000000-0005-0000-0000-000025030000}"/>
    <cellStyle name="0_!!!GO_10QSEP 2004 v7_Workings to notes to 20F_KORD Workings to notes to 6-k 2005_v17.3.06" xfId="1391" xr:uid="{00000000-0005-0000-0000-000026030000}"/>
    <cellStyle name="0_!!!GO_10QSEP 2004 v7_Workings to notes to 20F_NOTES TO CASH" xfId="1392" xr:uid="{00000000-0005-0000-0000-000027030000}"/>
    <cellStyle name="0_!!!GO_10QSEP 2004 v7_Workings to notes to 20F_October 2005BLANK(PLAYWELL)Workings to notes to 6-k Sept05" xfId="1393" xr:uid="{00000000-0005-0000-0000-000028030000}"/>
    <cellStyle name="0_!!!GO_10QSEP 2004 v7_Workings to notes to 20F_OPTIONS  RECAPjune10,2005updated" xfId="1394" xr:uid="{00000000-0005-0000-0000-000029030000}"/>
    <cellStyle name="0_!!!GO_10QSEP 2004 v7_Workings to notes to 20F_PIL RPT movements" xfId="1395" xr:uid="{00000000-0005-0000-0000-00002A030000}"/>
    <cellStyle name="0_!!!GO_10QSEP 2004 v7_Workings to notes to 20F_PLAYWELL Workings to notes to 6-k Dec 05" xfId="1396" xr:uid="{00000000-0005-0000-0000-00002B030000}"/>
    <cellStyle name="0_!!!GO_10QSEP 2004 v7_Workings to notes to 20F_PLAYWELL Workings to notes to 6-k June04" xfId="1397" xr:uid="{00000000-0005-0000-0000-00002C030000}"/>
    <cellStyle name="0_!!!GO_10QSEP 2004 v7_Workings to notes to 20F_Sheet2" xfId="1398" xr:uid="{00000000-0005-0000-0000-00002D030000}"/>
    <cellStyle name="0_!!!GO_10QSEP 2004 v7_Workings to notes to 20F_Sheet3" xfId="1399" xr:uid="{00000000-0005-0000-0000-00002E030000}"/>
    <cellStyle name="0_!!!GO_10QSEP 2004 v7_Workings to notes to 20F_Sheet4" xfId="1400" xr:uid="{00000000-0005-0000-0000-00002F030000}"/>
    <cellStyle name="0_!!!GO_10QSEP 2004 v7_Workings to notes to 20F_Top Lines (AC)" xfId="1401" xr:uid="{00000000-0005-0000-0000-000030030000}"/>
    <cellStyle name="0_!!!GO_10QSEP 2004 v7_Workings to notes to 20F_V1 Dec 2005  1" xfId="1402" xr:uid="{00000000-0005-0000-0000-000031030000}"/>
    <cellStyle name="0_!!!GO_10QSEP 2004 v7_Workings to notes to 20F_V1 July05 " xfId="1403" xr:uid="{00000000-0005-0000-0000-000032030000}"/>
    <cellStyle name="0_!!!GO_10QSEP 2004 v7_Workings to notes to 20F_V10Workings to notes to 6-k June05 (2)" xfId="1404" xr:uid="{00000000-0005-0000-0000-000033030000}"/>
    <cellStyle name="0_!!!GO_10QSEP 2004 v7_Workings to notes to 20F_V11workings to notes to 2004 inc HY and KD1" xfId="1405" xr:uid="{00000000-0005-0000-0000-000034030000}"/>
    <cellStyle name="0_!!!GO_10QSEP 2004 v7_Workings to notes to 20F_V11workings to notes to 2004 inc HY and KD1_Book1" xfId="1406" xr:uid="{00000000-0005-0000-0000-000035030000}"/>
    <cellStyle name="0_!!!GO_10QSEP 2004 v7_Workings to notes to 20F_V11workings to notes to 2004 inc HY and KD1_Consolidation_2006_Summary (v2) (1)" xfId="1407" xr:uid="{00000000-0005-0000-0000-000036030000}"/>
    <cellStyle name="0_!!!GO_10QSEP 2004 v7_Workings to notes to 20F_V11workings to notes to 2004 inc HY and KD1_Consolidation_2006_Summary (v3)" xfId="1408" xr:uid="{00000000-0005-0000-0000-000037030000}"/>
    <cellStyle name="0_!!!GO_10QSEP 2004 v7_Workings to notes to 20F_V11workings to notes to 2004 inc HY and KD1_Consolidation_2006_Summary audit" xfId="1409" xr:uid="{00000000-0005-0000-0000-000038030000}"/>
    <cellStyle name="0_!!!GO_10QSEP 2004 v7_Workings to notes to 20F_V11workings to notes to 2004 inc HY and KD1_Consolidation_2006_Summary auditBS &amp; PL" xfId="1410" xr:uid="{00000000-0005-0000-0000-000039030000}"/>
    <cellStyle name="0_!!!GO_10QSEP 2004 v7_Workings to notes to 20F_V11workings to notes to 2004 inc HY and KD1_DeferredTaxLiabilitiesOnFixedAssets" xfId="1411" xr:uid="{00000000-0005-0000-0000-00003A030000}"/>
    <cellStyle name="0_!!!GO_10QSEP 2004 v7_Workings to notes to 20F_V11workings to notes to 2004 inc HY and KD1_Management accounts 2006(UPDATED)" xfId="1412" xr:uid="{00000000-0005-0000-0000-00003B030000}"/>
    <cellStyle name="0_!!!GO_10QSEP 2004 v7_Workings to notes to 20F_V14 Dec 2005  1" xfId="1413" xr:uid="{00000000-0005-0000-0000-00003C030000}"/>
    <cellStyle name="0_!!!GO_10QSEP 2004 v7_Workings to notes to 20F_V18 Dec 2005 TC" xfId="1414" xr:uid="{00000000-0005-0000-0000-00003D030000}"/>
    <cellStyle name="0_!!!GO_10QSEP 2004 v7_Workings to notes to 20F_V29workings to notes to 2004 inc HY and KD1(1)" xfId="1415" xr:uid="{00000000-0005-0000-0000-00003E030000}"/>
    <cellStyle name="0_!!!GO_10QSEP 2004 v7_Workings to notes to 20F_V29workings to notes to 2004 inc HY and KD1(1)_Book1" xfId="1416" xr:uid="{00000000-0005-0000-0000-00003F030000}"/>
    <cellStyle name="0_!!!GO_10QSEP 2004 v7_Workings to notes to 20F_V29workings to notes to 2004 inc HY and KD1(1)_Consolidation_2006_Summary (v2) (1)" xfId="1417" xr:uid="{00000000-0005-0000-0000-000040030000}"/>
    <cellStyle name="0_!!!GO_10QSEP 2004 v7_Workings to notes to 20F_V29workings to notes to 2004 inc HY and KD1(1)_Consolidation_2006_Summary (v3)" xfId="1418" xr:uid="{00000000-0005-0000-0000-000041030000}"/>
    <cellStyle name="0_!!!GO_10QSEP 2004 v7_Workings to notes to 20F_V29workings to notes to 2004 inc HY and KD1(1)_Consolidation_2006_Summary audit" xfId="1419" xr:uid="{00000000-0005-0000-0000-000042030000}"/>
    <cellStyle name="0_!!!GO_10QSEP 2004 v7_Workings to notes to 20F_V29workings to notes to 2004 inc HY and KD1(1)_Consolidation_2006_Summary auditBS &amp; PL" xfId="1420" xr:uid="{00000000-0005-0000-0000-000043030000}"/>
    <cellStyle name="0_!!!GO_10QSEP 2004 v7_Workings to notes to 20F_V29workings to notes to 2004 inc HY and KD1(1)_DeferredTaxLiabilitiesOnFixedAssets" xfId="1421" xr:uid="{00000000-0005-0000-0000-000044030000}"/>
    <cellStyle name="0_!!!GO_10QSEP 2004 v7_Workings to notes to 20F_V29workings to notes to 2004 inc HY and KD1(1)_Management accounts 2006(UPDATED)" xfId="1422" xr:uid="{00000000-0005-0000-0000-000045030000}"/>
    <cellStyle name="0_!!!GO_10QSEP 2004 v7_Workings to notes to 20F_V2BLANK(PLAYWELL)Workings to notes to 6-k June05" xfId="1423" xr:uid="{00000000-0005-0000-0000-000046030000}"/>
    <cellStyle name="0_!!!GO_10QSEP 2004 v7_Workings to notes to 20F_V2Dec 2005  1" xfId="1424" xr:uid="{00000000-0005-0000-0000-000047030000}"/>
    <cellStyle name="0_!!!GO_10QSEP 2004 v7_Workings to notes to 20F_V2DSep2005 " xfId="1425" xr:uid="{00000000-0005-0000-0000-000048030000}"/>
    <cellStyle name="0_!!!GO_10QSEP 2004 v7_Workings to notes to 20F_V2FSep2005 tc" xfId="1426" xr:uid="{00000000-0005-0000-0000-000049030000}"/>
    <cellStyle name="0_!!!GO_10QSEP 2004 v7_Workings to notes to 20F_V2ISep2005 " xfId="1427" xr:uid="{00000000-0005-0000-0000-00004A030000}"/>
    <cellStyle name="0_!!!GO_10QSEP 2004 v7_Workings to notes to 20F_V2October 19 05Workings to notes to 6-k Sept05" xfId="1428" xr:uid="{00000000-0005-0000-0000-00004B030000}"/>
    <cellStyle name="0_!!!GO_10QSEP 2004 v7_Workings to notes to 20F_V30workings to notes to 2004 inc HY and KD1(1)" xfId="1429" xr:uid="{00000000-0005-0000-0000-00004C030000}"/>
    <cellStyle name="0_!!!GO_10QSEP 2004 v7_Workings to notes to 20F_V30workings to notes to 2004 inc HY and KD1(1)_Book1" xfId="1430" xr:uid="{00000000-0005-0000-0000-00004D030000}"/>
    <cellStyle name="0_!!!GO_10QSEP 2004 v7_Workings to notes to 20F_V30workings to notes to 2004 inc HY and KD1(1)_Consolidation_2006_Summary (v2) (1)" xfId="1431" xr:uid="{00000000-0005-0000-0000-00004E030000}"/>
    <cellStyle name="0_!!!GO_10QSEP 2004 v7_Workings to notes to 20F_V30workings to notes to 2004 inc HY and KD1(1)_Consolidation_2006_Summary (v3)" xfId="1432" xr:uid="{00000000-0005-0000-0000-00004F030000}"/>
    <cellStyle name="0_!!!GO_10QSEP 2004 v7_Workings to notes to 20F_V30workings to notes to 2004 inc HY and KD1(1)_Consolidation_2006_Summary audit" xfId="1433" xr:uid="{00000000-0005-0000-0000-000050030000}"/>
    <cellStyle name="0_!!!GO_10QSEP 2004 v7_Workings to notes to 20F_V30workings to notes to 2004 inc HY and KD1(1)_Consolidation_2006_Summary auditBS &amp; PL" xfId="1434" xr:uid="{00000000-0005-0000-0000-000051030000}"/>
    <cellStyle name="0_!!!GO_10QSEP 2004 v7_Workings to notes to 20F_V30workings to notes to 2004 inc HY and KD1(1)_DeferredTaxLiabilitiesOnFixedAssets" xfId="1435" xr:uid="{00000000-0005-0000-0000-000052030000}"/>
    <cellStyle name="0_!!!GO_10QSEP 2004 v7_Workings to notes to 20F_V30workings to notes to 2004 inc HY and KD1(1)_Management accounts 2006(UPDATED)" xfId="1436" xr:uid="{00000000-0005-0000-0000-000053030000}"/>
    <cellStyle name="0_!!!GO_10QSEP 2004 v7_Workings to notes to 20F_V31 Dec 2005 " xfId="1437" xr:uid="{00000000-0005-0000-0000-000054030000}"/>
    <cellStyle name="0_!!!GO_10QSEP 2004 v7_Workings to notes to 20F_V31(2) Dec 2005 (2)" xfId="1438" xr:uid="{00000000-0005-0000-0000-000055030000}"/>
    <cellStyle name="0_!!!GO_10QSEP 2004 v7_Workings to notes to 20F_V32(2) (2004)" xfId="1439" xr:uid="{00000000-0005-0000-0000-000056030000}"/>
    <cellStyle name="0_!!!GO_10QSEP 2004 v7_Workings to notes to 20F_V32(2) (2004)_Consolidation_2006_Summary (v2) (1)" xfId="1440" xr:uid="{00000000-0005-0000-0000-000057030000}"/>
    <cellStyle name="0_!!!GO_10QSEP 2004 v7_Workings to notes to 20F_V32(2) (2004)_Consolidation_2006_Summary (v3)" xfId="1441" xr:uid="{00000000-0005-0000-0000-000058030000}"/>
    <cellStyle name="0_!!!GO_10QSEP 2004 v7_Workings to notes to 20F_V32(2) (2004)_Consolidation_2006_Summary audit" xfId="1442" xr:uid="{00000000-0005-0000-0000-000059030000}"/>
    <cellStyle name="0_!!!GO_10QSEP 2004 v7_Workings to notes to 20F_V32(2) (2004)_Consolidation_2006_Summary auditBS &amp; PL" xfId="1443" xr:uid="{00000000-0005-0000-0000-00005A030000}"/>
    <cellStyle name="0_!!!GO_10QSEP 2004 v7_Workings to notes to 20F_V32(2) (2004)_Management accounts 2006(UPDATED)" xfId="1444" xr:uid="{00000000-0005-0000-0000-00005B030000}"/>
    <cellStyle name="0_!!!GO_10QSEP 2004 v7_Workings to notes to 20F_V32(3) (2004)" xfId="1445" xr:uid="{00000000-0005-0000-0000-00005C030000}"/>
    <cellStyle name="0_!!!GO_10QSEP 2004 v7_Workings to notes to 20F_V32(3) (2004)_Consolidation_2006_Summary (v2) (1)" xfId="1446" xr:uid="{00000000-0005-0000-0000-00005D030000}"/>
    <cellStyle name="0_!!!GO_10QSEP 2004 v7_Workings to notes to 20F_V32(3) (2004)_Consolidation_2006_Summary (v3)" xfId="1447" xr:uid="{00000000-0005-0000-0000-00005E030000}"/>
    <cellStyle name="0_!!!GO_10QSEP 2004 v7_Workings to notes to 20F_V32(3) (2004)_Consolidation_2006_Summary audit" xfId="1448" xr:uid="{00000000-0005-0000-0000-00005F030000}"/>
    <cellStyle name="0_!!!GO_10QSEP 2004 v7_Workings to notes to 20F_V32(3) (2004)_Consolidation_2006_Summary auditBS &amp; PL" xfId="1449" xr:uid="{00000000-0005-0000-0000-000060030000}"/>
    <cellStyle name="0_!!!GO_10QSEP 2004 v7_Workings to notes to 20F_V32(3) (2004)_Management accounts 2006(UPDATED)" xfId="1450" xr:uid="{00000000-0005-0000-0000-000061030000}"/>
    <cellStyle name="0_!!!GO_10QSEP 2004 v7_Workings to notes to 20F_V32(7) (2004)fixed as per DTT" xfId="1451" xr:uid="{00000000-0005-0000-0000-000062030000}"/>
    <cellStyle name="0_!!!GO_10QSEP 2004 v7_Workings to notes to 20F_V32(7) (2004)fixed as per DTT_Consolidation_2006_Summary (v2) (1)" xfId="1452" xr:uid="{00000000-0005-0000-0000-000063030000}"/>
    <cellStyle name="0_!!!GO_10QSEP 2004 v7_Workings to notes to 20F_V32(7) (2004)fixed as per DTT_Consolidation_2006_Summary (v3)" xfId="1453" xr:uid="{00000000-0005-0000-0000-000064030000}"/>
    <cellStyle name="0_!!!GO_10QSEP 2004 v7_Workings to notes to 20F_V32(7) (2004)fixed as per DTT_Consolidation_2006_Summary audit" xfId="1454" xr:uid="{00000000-0005-0000-0000-000065030000}"/>
    <cellStyle name="0_!!!GO_10QSEP 2004 v7_Workings to notes to 20F_V32(7) (2004)fixed as per DTT_Consolidation_2006_Summary auditBS &amp; PL" xfId="1455" xr:uid="{00000000-0005-0000-0000-000066030000}"/>
    <cellStyle name="0_!!!GO_10QSEP 2004 v7_Workings to notes to 20F_V32(7) (2004)fixed as per DTT_Management accounts 2006(UPDATED)" xfId="1456" xr:uid="{00000000-0005-0000-0000-000067030000}"/>
    <cellStyle name="0_!!!GO_10QSEP 2004 v7_Workings to notes to 20F_V32(9) DTT(2004)as per DTTNov 1306" xfId="1457" xr:uid="{00000000-0005-0000-0000-000068030000}"/>
    <cellStyle name="0_!!!GO_10QSEP 2004 v7_Workings to notes to 20F_V32(9) DTT(2004)as per DTTNov 1306_Consolidation_2006_Summary (v2) (1)" xfId="1458" xr:uid="{00000000-0005-0000-0000-000069030000}"/>
    <cellStyle name="0_!!!GO_10QSEP 2004 v7_Workings to notes to 20F_V32(9) DTT(2004)as per DTTNov 1306_Consolidation_2006_Summary (v3)" xfId="1459" xr:uid="{00000000-0005-0000-0000-00006A030000}"/>
    <cellStyle name="0_!!!GO_10QSEP 2004 v7_Workings to notes to 20F_V32(9) DTT(2004)as per DTTNov 1306_Consolidation_2006_Summary audit" xfId="1460" xr:uid="{00000000-0005-0000-0000-00006B030000}"/>
    <cellStyle name="0_!!!GO_10QSEP 2004 v7_Workings to notes to 20F_V32(9) DTT(2004)as per DTTNov 1306_Consolidation_2006_Summary auditBS &amp; PL" xfId="1461" xr:uid="{00000000-0005-0000-0000-00006C030000}"/>
    <cellStyle name="0_!!!GO_10QSEP 2004 v7_Workings to notes to 20F_V32(9) DTT(2004)as per DTTNov 1306_Management accounts 2006(UPDATED)" xfId="1462" xr:uid="{00000000-0005-0000-0000-00006D030000}"/>
    <cellStyle name="0_!!!GO_10QSEP 2004 v7_Workings to notes to 20F_V38(5)(2005) " xfId="1463" xr:uid="{00000000-0005-0000-0000-00006E030000}"/>
    <cellStyle name="0_!!!GO_10QSEP 2004 v7_Workings to notes to 20F_V38(8)(2005)fixed as per DTT " xfId="1464" xr:uid="{00000000-0005-0000-0000-00006F030000}"/>
    <cellStyle name="0_!!!GO_10QSEP 2004 v7_Workings to notes to 20F_V39(2005) " xfId="1465" xr:uid="{00000000-0005-0000-0000-000070030000}"/>
    <cellStyle name="0_!!!GO_10QSEP 2004 v7_Workings to notes to 20F_v3march1705KORD Workings to notes to 6-k 2004_v17.3.06" xfId="1466" xr:uid="{00000000-0005-0000-0000-000071030000}"/>
    <cellStyle name="0_!!!GO_10QSEP 2004 v7_Workings to notes to 20F_V4Dec 2005  1" xfId="1467" xr:uid="{00000000-0005-0000-0000-000072030000}"/>
    <cellStyle name="0_!!!GO_10QSEP 2004 v7_Workings to notes to 20F_V8TCWorkings to notes to 6-k June05" xfId="1468" xr:uid="{00000000-0005-0000-0000-000073030000}"/>
    <cellStyle name="0_!!!GO_10QSEP 2004 v7_Workings to notes to 20F_Workings to notes to 6-k FY2005-Consol-V3" xfId="1469" xr:uid="{00000000-0005-0000-0000-000074030000}"/>
    <cellStyle name="0_!!!GO_10QSEP 2004 v7_Workings to notes to 20F_Workings to notes to 6-k FY2005-Consol-V37" xfId="1470" xr:uid="{00000000-0005-0000-0000-000075030000}"/>
    <cellStyle name="0_!!!GO_10QSEP 2004 v7_Workings to notes to 20F_Workings to notes to 6-k FY2005-Consol-V8" xfId="1471" xr:uid="{00000000-0005-0000-0000-000076030000}"/>
    <cellStyle name="0_!!!GO_10QSEP 2004 v7_Workings to notes to 20F_Workings to notes to 6-k June05v1" xfId="1472" xr:uid="{00000000-0005-0000-0000-000077030000}"/>
    <cellStyle name="0_!!!GO_10QSEP 2004 v7_Workings to notes to 20F_Workings to notes to 6-k June05v2" xfId="1473" xr:uid="{00000000-0005-0000-0000-000078030000}"/>
    <cellStyle name="0_!!!GO_10QSEP 2004 v7_Workings to notes to 20F_Workings to notes to 6-k June05v3" xfId="1474" xr:uid="{00000000-0005-0000-0000-000079030000}"/>
    <cellStyle name="0_!!!GO_10QSEP 2004 v7_Workings to notes to 20F_Workings to notes to 6-k Mar05v13TC" xfId="1475" xr:uid="{00000000-0005-0000-0000-00007A030000}"/>
    <cellStyle name="0_!!!GO_10QSEP 2004 v7_Workings to notes to 20F_Workings to notes to 6-k Mar05v17" xfId="1476" xr:uid="{00000000-0005-0000-0000-00007B030000}"/>
    <cellStyle name="0_!!!GO_10QSEP 2004 v7_Workings to notes to 6-k FY2005-Consol-V3" xfId="1477" xr:uid="{00000000-0005-0000-0000-00007C030000}"/>
    <cellStyle name="0_!!!GO_10QSEP 2004 v7_Workings to notes to 6-k FY2005-Consol-V37" xfId="1478" xr:uid="{00000000-0005-0000-0000-00007D030000}"/>
    <cellStyle name="0_!!!GO_10QSEP 2004 v7_Workings to notes to 6-k FY2005-Consol-V8" xfId="1479" xr:uid="{00000000-0005-0000-0000-00007E030000}"/>
    <cellStyle name="0_!!!GO_10QSEP 2004 v7_Workings to notes to 6-k June05v1" xfId="1480" xr:uid="{00000000-0005-0000-0000-00007F030000}"/>
    <cellStyle name="0_!!!GO_10QSEP 2004 v7_Workings to notes to 6-k June05v2" xfId="1481" xr:uid="{00000000-0005-0000-0000-000080030000}"/>
    <cellStyle name="0_!!!GO_10QSEP 2004 v7_Workings to notes to 6-k June05v3" xfId="1482" xr:uid="{00000000-0005-0000-0000-000081030000}"/>
    <cellStyle name="0_!!!GO_10QSEP 2004 v7_Workings to notes to 6-k Mar05v13TC" xfId="1483" xr:uid="{00000000-0005-0000-0000-000082030000}"/>
    <cellStyle name="0_!!!GO_10QSEP 2004 v7_Workings to notes to 6-k Mar05v17" xfId="1484" xr:uid="{00000000-0005-0000-0000-000083030000}"/>
    <cellStyle name="0_!!!GO_10QSEP 2004 v7_Workings to notes to 6-k Mar05v19(div)" xfId="1485" xr:uid="{00000000-0005-0000-0000-000084030000}"/>
    <cellStyle name="0_!!!GO_20-F DEC 31 2004v11" xfId="1486" xr:uid="{00000000-0005-0000-0000-000085030000}"/>
    <cellStyle name="0_!!!GO_A4Cash flow1" xfId="1487" xr:uid="{00000000-0005-0000-0000-000086030000}"/>
    <cellStyle name="0_!!!GO_AE(tania)consolidated FS oct 30 04revised 2 (nov304R)" xfId="1488" xr:uid="{00000000-0005-0000-0000-000087030000}"/>
    <cellStyle name="0_!!!GO_AFconsolidated FS oct 30 04revised 2 (nov304R)(TER)1" xfId="1489" xr:uid="{00000000-0005-0000-0000-000088030000}"/>
    <cellStyle name="0_!!!GO_AGconsolidated FS oct 30 04revised 2 (nov304R)" xfId="1490" xr:uid="{00000000-0005-0000-0000-000089030000}"/>
    <cellStyle name="0_!!!GO_consolidated detailed IS 2004" xfId="1491" xr:uid="{00000000-0005-0000-0000-00008A030000}"/>
    <cellStyle name="0_!!!GO_consolidated detailed IS 2004_(3)Grand US workings December 2005" xfId="1492" xr:uid="{00000000-0005-0000-0000-00008B030000}"/>
    <cellStyle name="0_!!!GO_consolidated detailed IS 2004_(3)Grand US workings December 2005_Book1" xfId="1493" xr:uid="{00000000-0005-0000-0000-00008C030000}"/>
    <cellStyle name="0_!!!GO_consolidated detailed IS 2004_(3)Grand US workings December 2005_Consolidation_2006_Summary (v2) (1)" xfId="1494" xr:uid="{00000000-0005-0000-0000-00008D030000}"/>
    <cellStyle name="0_!!!GO_consolidated detailed IS 2004_(3)Grand US workings December 2005_Consolidation_2006_Summary (v3)" xfId="1495" xr:uid="{00000000-0005-0000-0000-00008E030000}"/>
    <cellStyle name="0_!!!GO_consolidated detailed IS 2004_(3)Grand US workings December 2005_Consolidation_2006_Summary audit" xfId="1496" xr:uid="{00000000-0005-0000-0000-00008F030000}"/>
    <cellStyle name="0_!!!GO_consolidated detailed IS 2004_(3)Grand US workings December 2005_Consolidation_2006_Summary auditBS &amp; PL" xfId="1497" xr:uid="{00000000-0005-0000-0000-000090030000}"/>
    <cellStyle name="0_!!!GO_consolidated detailed IS 2004_(3)Grand US workings December 2005_DeferredTaxLiabilitiesOnFixedAssets" xfId="1498" xr:uid="{00000000-0005-0000-0000-000091030000}"/>
    <cellStyle name="0_!!!GO_consolidated detailed IS 2004_(3)Grand US workings December 2005_Management accounts 2006(UPDATED)" xfId="1499" xr:uid="{00000000-0005-0000-0000-000092030000}"/>
    <cellStyle name="0_!!!GO_consolidated detailed IS 2004_A2PLAYWELLWorkings to notes to 6-k Dec 051" xfId="1500" xr:uid="{00000000-0005-0000-0000-000093030000}"/>
    <cellStyle name="0_!!!GO_consolidated detailed IS 2004_BLANK(iNT pLAY))(2)Workings to notes to 6-k September051" xfId="1501" xr:uid="{00000000-0005-0000-0000-000094030000}"/>
    <cellStyle name="0_!!!GO_consolidated detailed IS 2004_BLANK(iNT pLAY))Workings to notes to 6-k June05" xfId="1502" xr:uid="{00000000-0005-0000-0000-000095030000}"/>
    <cellStyle name="0_!!!GO_consolidated detailed IS 2004_Book1" xfId="1503" xr:uid="{00000000-0005-0000-0000-000096030000}"/>
    <cellStyle name="0_!!!GO_consolidated detailed IS 2004_cashflow05K01" xfId="1504" xr:uid="{00000000-0005-0000-0000-000097030000}"/>
    <cellStyle name="0_!!!GO_consolidated detailed IS 2004_consolidation entries 2004" xfId="1505" xr:uid="{00000000-0005-0000-0000-000098030000}"/>
    <cellStyle name="0_!!!GO_consolidated detailed IS 2004_consolidation entries 2004_Consolidation_2006_Summary (v2) (1)" xfId="1506" xr:uid="{00000000-0005-0000-0000-000099030000}"/>
    <cellStyle name="0_!!!GO_consolidated detailed IS 2004_consolidation entries 2004_Consolidation_2006_Summary (v3)" xfId="1507" xr:uid="{00000000-0005-0000-0000-00009A030000}"/>
    <cellStyle name="0_!!!GO_consolidated detailed IS 2004_consolidation entries 2004_Consolidation_2006_Summary audit" xfId="1508" xr:uid="{00000000-0005-0000-0000-00009B030000}"/>
    <cellStyle name="0_!!!GO_consolidated detailed IS 2004_consolidation entries 2004_Consolidation_2006_Summary auditBS &amp; PL" xfId="1509" xr:uid="{00000000-0005-0000-0000-00009C030000}"/>
    <cellStyle name="0_!!!GO_consolidated detailed IS 2004_consolidation entries 2004_Management accounts 2006(UPDATED)" xfId="1510" xr:uid="{00000000-0005-0000-0000-00009D030000}"/>
    <cellStyle name="0_!!!GO_consolidated detailed IS 2004_corporate tax entry allocation" xfId="1511" xr:uid="{00000000-0005-0000-0000-00009E030000}"/>
    <cellStyle name="0_!!!GO_consolidated detailed IS 2004_credit risk note" xfId="1512" xr:uid="{00000000-0005-0000-0000-00009F030000}"/>
    <cellStyle name="0_!!!GO_consolidated detailed IS 2004_DeferredTaxLiabilitiesOnFixedAssets" xfId="1513" xr:uid="{00000000-0005-0000-0000-0000A0030000}"/>
    <cellStyle name="0_!!!GO_consolidated detailed IS 2004_Detailed Conso july 2005" xfId="1514" xr:uid="{00000000-0005-0000-0000-0000A1030000}"/>
    <cellStyle name="0_!!!GO_consolidated detailed IS 2004_Detailed Conso july 2005_Book1" xfId="1515" xr:uid="{00000000-0005-0000-0000-0000A2030000}"/>
    <cellStyle name="0_!!!GO_consolidated detailed IS 2004_Detailed Conso july 2005_Consolidation_2006_Summary (v2) (1)" xfId="1516" xr:uid="{00000000-0005-0000-0000-0000A3030000}"/>
    <cellStyle name="0_!!!GO_consolidated detailed IS 2004_Detailed Conso july 2005_Consolidation_2006_Summary (v3)" xfId="1517" xr:uid="{00000000-0005-0000-0000-0000A4030000}"/>
    <cellStyle name="0_!!!GO_consolidated detailed IS 2004_Detailed Conso july 2005_Consolidation_2006_Summary audit" xfId="1518" xr:uid="{00000000-0005-0000-0000-0000A5030000}"/>
    <cellStyle name="0_!!!GO_consolidated detailed IS 2004_Detailed Conso july 2005_Consolidation_2006_Summary auditBS &amp; PL" xfId="1519" xr:uid="{00000000-0005-0000-0000-0000A6030000}"/>
    <cellStyle name="0_!!!GO_consolidated detailed IS 2004_Detailed Conso july 2005_DeferredTaxLiabilitiesOnFixedAssets" xfId="1520" xr:uid="{00000000-0005-0000-0000-0000A7030000}"/>
    <cellStyle name="0_!!!GO_consolidated detailed IS 2004_Detailed Conso july 2005_Management accounts 2006(UPDATED)" xfId="1521" xr:uid="{00000000-0005-0000-0000-0000A8030000}"/>
    <cellStyle name="0_!!!GO_consolidated detailed IS 2004_FA2005schedule" xfId="1522" xr:uid="{00000000-0005-0000-0000-0000A9030000}"/>
    <cellStyle name="0_!!!GO_consolidated detailed IS 2004_Grand US workings December 2005" xfId="1523" xr:uid="{00000000-0005-0000-0000-0000AA030000}"/>
    <cellStyle name="0_!!!GO_consolidated detailed IS 2004_Grand US workings December 2005_Book1" xfId="1524" xr:uid="{00000000-0005-0000-0000-0000AB030000}"/>
    <cellStyle name="0_!!!GO_consolidated detailed IS 2004_Grand US workings December 2005_Consolidation_2006_Summary (v2) (1)" xfId="1525" xr:uid="{00000000-0005-0000-0000-0000AC030000}"/>
    <cellStyle name="0_!!!GO_consolidated detailed IS 2004_Grand US workings December 2005_Consolidation_2006_Summary (v3)" xfId="1526" xr:uid="{00000000-0005-0000-0000-0000AD030000}"/>
    <cellStyle name="0_!!!GO_consolidated detailed IS 2004_Grand US workings December 2005_Consolidation_2006_Summary audit" xfId="1527" xr:uid="{00000000-0005-0000-0000-0000AE030000}"/>
    <cellStyle name="0_!!!GO_consolidated detailed IS 2004_Grand US workings December 2005_Consolidation_2006_Summary auditBS &amp; PL" xfId="1528" xr:uid="{00000000-0005-0000-0000-0000AF030000}"/>
    <cellStyle name="0_!!!GO_consolidated detailed IS 2004_Grand US workings December 2005_DeferredTaxLiabilitiesOnFixedAssets" xfId="1529" xr:uid="{00000000-0005-0000-0000-0000B0030000}"/>
    <cellStyle name="0_!!!GO_consolidated detailed IS 2004_Grand US workings December 2005_Management accounts 2006(UPDATED)" xfId="1530" xr:uid="{00000000-0005-0000-0000-0000B1030000}"/>
    <cellStyle name="0_!!!GO_consolidated detailed IS 2004_Grand US workings June2005" xfId="1531" xr:uid="{00000000-0005-0000-0000-0000B2030000}"/>
    <cellStyle name="0_!!!GO_consolidated detailed IS 2004_Grand US workings June2005_Book1" xfId="1532" xr:uid="{00000000-0005-0000-0000-0000B3030000}"/>
    <cellStyle name="0_!!!GO_consolidated detailed IS 2004_Grand US workings June2005_Consolidation_2006_Summary (v2) (1)" xfId="1533" xr:uid="{00000000-0005-0000-0000-0000B4030000}"/>
    <cellStyle name="0_!!!GO_consolidated detailed IS 2004_Grand US workings June2005_Consolidation_2006_Summary (v3)" xfId="1534" xr:uid="{00000000-0005-0000-0000-0000B5030000}"/>
    <cellStyle name="0_!!!GO_consolidated detailed IS 2004_Grand US workings June2005_Consolidation_2006_Summary audit" xfId="1535" xr:uid="{00000000-0005-0000-0000-0000B6030000}"/>
    <cellStyle name="0_!!!GO_consolidated detailed IS 2004_Grand US workings June2005_Consolidation_2006_Summary auditBS &amp; PL" xfId="1536" xr:uid="{00000000-0005-0000-0000-0000B7030000}"/>
    <cellStyle name="0_!!!GO_consolidated detailed IS 2004_Grand US workings June2005_DeferredTaxLiabilitiesOnFixedAssets" xfId="1537" xr:uid="{00000000-0005-0000-0000-0000B8030000}"/>
    <cellStyle name="0_!!!GO_consolidated detailed IS 2004_Grand US workings June2005_Management accounts 2006(UPDATED)" xfId="1538" xr:uid="{00000000-0005-0000-0000-0000B9030000}"/>
    <cellStyle name="0_!!!GO_consolidated detailed IS 2004_Grand US workings June2005_V10Workings to notes to 6-k June05 (2)" xfId="1539" xr:uid="{00000000-0005-0000-0000-0000BA030000}"/>
    <cellStyle name="0_!!!GO_consolidated detailed IS 2004_HUAYANGv5(revised by dy)  wORKINGS TO nOITE DEC 3104" xfId="1540" xr:uid="{00000000-0005-0000-0000-0000BB030000}"/>
    <cellStyle name="0_!!!GO_consolidated detailed IS 2004_HUAYANGWorkings to notes to 6-k FY2005-Consol" xfId="1541" xr:uid="{00000000-0005-0000-0000-0000BC030000}"/>
    <cellStyle name="0_!!!GO_consolidated detailed IS 2004_Inventory  AR March 31 2005" xfId="1542" xr:uid="{00000000-0005-0000-0000-0000BD030000}"/>
    <cellStyle name="0_!!!GO_consolidated detailed IS 2004_IS Format - GTL -aug2004" xfId="1543" xr:uid="{00000000-0005-0000-0000-0000BE030000}"/>
    <cellStyle name="0_!!!GO_consolidated detailed IS 2004_IS Format - GTL -aug2004_Book1" xfId="1544" xr:uid="{00000000-0005-0000-0000-0000BF030000}"/>
    <cellStyle name="0_!!!GO_consolidated detailed IS 2004_IS Format - GTL -aug2004_Consolidation_2006_Summary (v2) (1)" xfId="1545" xr:uid="{00000000-0005-0000-0000-0000C0030000}"/>
    <cellStyle name="0_!!!GO_consolidated detailed IS 2004_IS Format - GTL -aug2004_Consolidation_2006_Summary (v3)" xfId="1546" xr:uid="{00000000-0005-0000-0000-0000C1030000}"/>
    <cellStyle name="0_!!!GO_consolidated detailed IS 2004_IS Format - GTL -aug2004_Consolidation_2006_Summary audit" xfId="1547" xr:uid="{00000000-0005-0000-0000-0000C2030000}"/>
    <cellStyle name="0_!!!GO_consolidated detailed IS 2004_IS Format - GTL -aug2004_Consolidation_2006_Summary auditBS &amp; PL" xfId="1548" xr:uid="{00000000-0005-0000-0000-0000C3030000}"/>
    <cellStyle name="0_!!!GO_consolidated detailed IS 2004_IS Format - GTL -aug2004_DeferredTaxLiabilitiesOnFixedAssets" xfId="1549" xr:uid="{00000000-0005-0000-0000-0000C4030000}"/>
    <cellStyle name="0_!!!GO_consolidated detailed IS 2004_IS Format - GTL -aug2004_Management accounts 2006(UPDATED)" xfId="1550" xr:uid="{00000000-0005-0000-0000-0000C5030000}"/>
    <cellStyle name="0_!!!GO_consolidated detailed IS 2004_KD(5) Workings to notes to 6-k 2005_v17.3.06" xfId="1551" xr:uid="{00000000-0005-0000-0000-0000C6030000}"/>
    <cellStyle name="0_!!!GO_consolidated detailed IS 2004_KORD Workings to notes to 6-k 2005_v17.3.06" xfId="1552" xr:uid="{00000000-0005-0000-0000-0000C7030000}"/>
    <cellStyle name="0_!!!GO_consolidated detailed IS 2004_NOTES TO CASH" xfId="1553" xr:uid="{00000000-0005-0000-0000-0000C8030000}"/>
    <cellStyle name="0_!!!GO_consolidated detailed IS 2004_October 2005BLANK(PLAYWELL)Workings to notes to 6-k Sept05" xfId="1554" xr:uid="{00000000-0005-0000-0000-0000C9030000}"/>
    <cellStyle name="0_!!!GO_consolidated detailed IS 2004_OPTIONS  RECAPjune10,2005updated" xfId="1555" xr:uid="{00000000-0005-0000-0000-0000CA030000}"/>
    <cellStyle name="0_!!!GO_consolidated detailed IS 2004_OPTIONS  RECAPjune10,2005updated_Book1" xfId="1556" xr:uid="{00000000-0005-0000-0000-0000CB030000}"/>
    <cellStyle name="0_!!!GO_consolidated detailed IS 2004_OPTIONS  RECAPjune10,2005updated_Consolidation_2006_Summary (v2) (1)" xfId="1557" xr:uid="{00000000-0005-0000-0000-0000CC030000}"/>
    <cellStyle name="0_!!!GO_consolidated detailed IS 2004_OPTIONS  RECAPjune10,2005updated_Consolidation_2006_Summary (v3)" xfId="1558" xr:uid="{00000000-0005-0000-0000-0000CD030000}"/>
    <cellStyle name="0_!!!GO_consolidated detailed IS 2004_OPTIONS  RECAPjune10,2005updated_Consolidation_2006_Summary audit" xfId="1559" xr:uid="{00000000-0005-0000-0000-0000CE030000}"/>
    <cellStyle name="0_!!!GO_consolidated detailed IS 2004_OPTIONS  RECAPjune10,2005updated_Consolidation_2006_Summary auditBS &amp; PL" xfId="1560" xr:uid="{00000000-0005-0000-0000-0000CF030000}"/>
    <cellStyle name="0_!!!GO_consolidated detailed IS 2004_OPTIONS  RECAPjune10,2005updated_DeferredTaxLiabilitiesOnFixedAssets" xfId="1561" xr:uid="{00000000-0005-0000-0000-0000D0030000}"/>
    <cellStyle name="0_!!!GO_consolidated detailed IS 2004_OPTIONS  RECAPjune10,2005updated_Management accounts 2006(UPDATED)" xfId="1562" xr:uid="{00000000-0005-0000-0000-0000D1030000}"/>
    <cellStyle name="0_!!!GO_consolidated detailed IS 2004_OPTIONS  RECAPjune10,2005updated_V10Workings to notes to 6-k June05 (2)" xfId="1563" xr:uid="{00000000-0005-0000-0000-0000D2030000}"/>
    <cellStyle name="0_!!!GO_consolidated detailed IS 2004_PIL RPT movements" xfId="1564" xr:uid="{00000000-0005-0000-0000-0000D3030000}"/>
    <cellStyle name="0_!!!GO_consolidated detailed IS 2004_PLAYWELL Workings to notes to 6-k Dec 05" xfId="1565" xr:uid="{00000000-0005-0000-0000-0000D4030000}"/>
    <cellStyle name="0_!!!GO_consolidated detailed IS 2004_PLAYWELL Workings to notes to 6-k June04" xfId="1566" xr:uid="{00000000-0005-0000-0000-0000D5030000}"/>
    <cellStyle name="0_!!!GO_consolidated detailed IS 2004_Rpt, AGING, product lines" xfId="1567" xr:uid="{00000000-0005-0000-0000-0000D6030000}"/>
    <cellStyle name="0_!!!GO_consolidated detailed IS 2004_Sheet2" xfId="1568" xr:uid="{00000000-0005-0000-0000-0000D7030000}"/>
    <cellStyle name="0_!!!GO_consolidated detailed IS 2004_Sheet3" xfId="1569" xr:uid="{00000000-0005-0000-0000-0000D8030000}"/>
    <cellStyle name="0_!!!GO_consolidated detailed IS 2004_Sheet4" xfId="1570" xr:uid="{00000000-0005-0000-0000-0000D9030000}"/>
    <cellStyle name="0_!!!GO_consolidated detailed IS 2004_Top Lines (AC)" xfId="1571" xr:uid="{00000000-0005-0000-0000-0000DA030000}"/>
    <cellStyle name="0_!!!GO_consolidated detailed IS 2004_V1 Dec 2005  1" xfId="1572" xr:uid="{00000000-0005-0000-0000-0000DB030000}"/>
    <cellStyle name="0_!!!GO_consolidated detailed IS 2004_V1 July05 " xfId="1573" xr:uid="{00000000-0005-0000-0000-0000DC030000}"/>
    <cellStyle name="0_!!!GO_consolidated detailed IS 2004_V10Workings to notes to 6-k June05 (2)" xfId="1574" xr:uid="{00000000-0005-0000-0000-0000DD030000}"/>
    <cellStyle name="0_!!!GO_consolidated detailed IS 2004_V11workings to notes to 2004 inc HY and KD1" xfId="1575" xr:uid="{00000000-0005-0000-0000-0000DE030000}"/>
    <cellStyle name="0_!!!GO_consolidated detailed IS 2004_V11workings to notes to 2004 inc HY and KD1_Book1" xfId="1576" xr:uid="{00000000-0005-0000-0000-0000DF030000}"/>
    <cellStyle name="0_!!!GO_consolidated detailed IS 2004_V11workings to notes to 2004 inc HY and KD1_Consolidation_2006_Summary (v2) (1)" xfId="1577" xr:uid="{00000000-0005-0000-0000-0000E0030000}"/>
    <cellStyle name="0_!!!GO_consolidated detailed IS 2004_V11workings to notes to 2004 inc HY and KD1_Consolidation_2006_Summary (v3)" xfId="1578" xr:uid="{00000000-0005-0000-0000-0000E1030000}"/>
    <cellStyle name="0_!!!GO_consolidated detailed IS 2004_V11workings to notes to 2004 inc HY and KD1_Consolidation_2006_Summary audit" xfId="1579" xr:uid="{00000000-0005-0000-0000-0000E2030000}"/>
    <cellStyle name="0_!!!GO_consolidated detailed IS 2004_V11workings to notes to 2004 inc HY and KD1_Consolidation_2006_Summary auditBS &amp; PL" xfId="1580" xr:uid="{00000000-0005-0000-0000-0000E3030000}"/>
    <cellStyle name="0_!!!GO_consolidated detailed IS 2004_V11workings to notes to 2004 inc HY and KD1_DeferredTaxLiabilitiesOnFixedAssets" xfId="1581" xr:uid="{00000000-0005-0000-0000-0000E4030000}"/>
    <cellStyle name="0_!!!GO_consolidated detailed IS 2004_V11workings to notes to 2004 inc HY and KD1_Management accounts 2006(UPDATED)" xfId="1582" xr:uid="{00000000-0005-0000-0000-0000E5030000}"/>
    <cellStyle name="0_!!!GO_consolidated detailed IS 2004_V14 Dec 2005  1" xfId="1583" xr:uid="{00000000-0005-0000-0000-0000E6030000}"/>
    <cellStyle name="0_!!!GO_consolidated detailed IS 2004_V18 Dec 2005 TC" xfId="1584" xr:uid="{00000000-0005-0000-0000-0000E7030000}"/>
    <cellStyle name="0_!!!GO_consolidated detailed IS 2004_V29workings to notes to 2004 inc HY and KD1(1)" xfId="1585" xr:uid="{00000000-0005-0000-0000-0000E8030000}"/>
    <cellStyle name="0_!!!GO_consolidated detailed IS 2004_V29workings to notes to 2004 inc HY and KD1(1)_Book1" xfId="1586" xr:uid="{00000000-0005-0000-0000-0000E9030000}"/>
    <cellStyle name="0_!!!GO_consolidated detailed IS 2004_V29workings to notes to 2004 inc HY and KD1(1)_Consolidation_2006_Summary (v2) (1)" xfId="1587" xr:uid="{00000000-0005-0000-0000-0000EA030000}"/>
    <cellStyle name="0_!!!GO_consolidated detailed IS 2004_V29workings to notes to 2004 inc HY and KD1(1)_Consolidation_2006_Summary (v3)" xfId="1588" xr:uid="{00000000-0005-0000-0000-0000EB030000}"/>
    <cellStyle name="0_!!!GO_consolidated detailed IS 2004_V29workings to notes to 2004 inc HY and KD1(1)_Consolidation_2006_Summary audit" xfId="1589" xr:uid="{00000000-0005-0000-0000-0000EC030000}"/>
    <cellStyle name="0_!!!GO_consolidated detailed IS 2004_V29workings to notes to 2004 inc HY and KD1(1)_Consolidation_2006_Summary auditBS &amp; PL" xfId="1590" xr:uid="{00000000-0005-0000-0000-0000ED030000}"/>
    <cellStyle name="0_!!!GO_consolidated detailed IS 2004_V29workings to notes to 2004 inc HY and KD1(1)_DeferredTaxLiabilitiesOnFixedAssets" xfId="1591" xr:uid="{00000000-0005-0000-0000-0000EE030000}"/>
    <cellStyle name="0_!!!GO_consolidated detailed IS 2004_V29workings to notes to 2004 inc HY and KD1(1)_Management accounts 2006(UPDATED)" xfId="1592" xr:uid="{00000000-0005-0000-0000-0000EF030000}"/>
    <cellStyle name="0_!!!GO_consolidated detailed IS 2004_V2BLANK(PLAYWELL)Workings to notes to 6-k June05" xfId="1593" xr:uid="{00000000-0005-0000-0000-0000F0030000}"/>
    <cellStyle name="0_!!!GO_consolidated detailed IS 2004_V2Dec 2005  1" xfId="1594" xr:uid="{00000000-0005-0000-0000-0000F1030000}"/>
    <cellStyle name="0_!!!GO_consolidated detailed IS 2004_V2DSep2005 " xfId="1595" xr:uid="{00000000-0005-0000-0000-0000F2030000}"/>
    <cellStyle name="0_!!!GO_consolidated detailed IS 2004_V2FSep2005 tc" xfId="1596" xr:uid="{00000000-0005-0000-0000-0000F3030000}"/>
    <cellStyle name="0_!!!GO_consolidated detailed IS 2004_V2ISep2005 " xfId="1597" xr:uid="{00000000-0005-0000-0000-0000F4030000}"/>
    <cellStyle name="0_!!!GO_consolidated detailed IS 2004_V2October 19 05Workings to notes to 6-k Sept05" xfId="1598" xr:uid="{00000000-0005-0000-0000-0000F5030000}"/>
    <cellStyle name="0_!!!GO_consolidated detailed IS 2004_V30workings to notes to 2004 inc HY and KD1(1)" xfId="1599" xr:uid="{00000000-0005-0000-0000-0000F6030000}"/>
    <cellStyle name="0_!!!GO_consolidated detailed IS 2004_V30workings to notes to 2004 inc HY and KD1(1)_Book1" xfId="1600" xr:uid="{00000000-0005-0000-0000-0000F7030000}"/>
    <cellStyle name="0_!!!GO_consolidated detailed IS 2004_V30workings to notes to 2004 inc HY and KD1(1)_Consolidation_2006_Summary (v2) (1)" xfId="1601" xr:uid="{00000000-0005-0000-0000-0000F8030000}"/>
    <cellStyle name="0_!!!GO_consolidated detailed IS 2004_V30workings to notes to 2004 inc HY and KD1(1)_Consolidation_2006_Summary (v3)" xfId="1602" xr:uid="{00000000-0005-0000-0000-0000F9030000}"/>
    <cellStyle name="0_!!!GO_consolidated detailed IS 2004_V30workings to notes to 2004 inc HY and KD1(1)_Consolidation_2006_Summary audit" xfId="1603" xr:uid="{00000000-0005-0000-0000-0000FA030000}"/>
    <cellStyle name="0_!!!GO_consolidated detailed IS 2004_V30workings to notes to 2004 inc HY and KD1(1)_Consolidation_2006_Summary auditBS &amp; PL" xfId="1604" xr:uid="{00000000-0005-0000-0000-0000FB030000}"/>
    <cellStyle name="0_!!!GO_consolidated detailed IS 2004_V30workings to notes to 2004 inc HY and KD1(1)_DeferredTaxLiabilitiesOnFixedAssets" xfId="1605" xr:uid="{00000000-0005-0000-0000-0000FC030000}"/>
    <cellStyle name="0_!!!GO_consolidated detailed IS 2004_V30workings to notes to 2004 inc HY and KD1(1)_Management accounts 2006(UPDATED)" xfId="1606" xr:uid="{00000000-0005-0000-0000-0000FD030000}"/>
    <cellStyle name="0_!!!GO_consolidated detailed IS 2004_V31 Dec 2005 " xfId="1607" xr:uid="{00000000-0005-0000-0000-0000FE030000}"/>
    <cellStyle name="0_!!!GO_consolidated detailed IS 2004_V31(2) Dec 2005 (2)" xfId="1608" xr:uid="{00000000-0005-0000-0000-0000FF030000}"/>
    <cellStyle name="0_!!!GO_consolidated detailed IS 2004_V32(2) (2004)" xfId="1609" xr:uid="{00000000-0005-0000-0000-000000040000}"/>
    <cellStyle name="0_!!!GO_consolidated detailed IS 2004_V32(2) (2004)_Consolidation_2006_Summary (v2) (1)" xfId="1610" xr:uid="{00000000-0005-0000-0000-000001040000}"/>
    <cellStyle name="0_!!!GO_consolidated detailed IS 2004_V32(2) (2004)_Consolidation_2006_Summary (v3)" xfId="1611" xr:uid="{00000000-0005-0000-0000-000002040000}"/>
    <cellStyle name="0_!!!GO_consolidated detailed IS 2004_V32(2) (2004)_Consolidation_2006_Summary audit" xfId="1612" xr:uid="{00000000-0005-0000-0000-000003040000}"/>
    <cellStyle name="0_!!!GO_consolidated detailed IS 2004_V32(2) (2004)_Consolidation_2006_Summary auditBS &amp; PL" xfId="1613" xr:uid="{00000000-0005-0000-0000-000004040000}"/>
    <cellStyle name="0_!!!GO_consolidated detailed IS 2004_V32(2) (2004)_Management accounts 2006(UPDATED)" xfId="1614" xr:uid="{00000000-0005-0000-0000-000005040000}"/>
    <cellStyle name="0_!!!GO_consolidated detailed IS 2004_V32(3) (2004)" xfId="1615" xr:uid="{00000000-0005-0000-0000-000006040000}"/>
    <cellStyle name="0_!!!GO_consolidated detailed IS 2004_V32(3) (2004)_Consolidation_2006_Summary (v2) (1)" xfId="1616" xr:uid="{00000000-0005-0000-0000-000007040000}"/>
    <cellStyle name="0_!!!GO_consolidated detailed IS 2004_V32(3) (2004)_Consolidation_2006_Summary (v3)" xfId="1617" xr:uid="{00000000-0005-0000-0000-000008040000}"/>
    <cellStyle name="0_!!!GO_consolidated detailed IS 2004_V32(3) (2004)_Consolidation_2006_Summary audit" xfId="1618" xr:uid="{00000000-0005-0000-0000-000009040000}"/>
    <cellStyle name="0_!!!GO_consolidated detailed IS 2004_V32(3) (2004)_Consolidation_2006_Summary auditBS &amp; PL" xfId="1619" xr:uid="{00000000-0005-0000-0000-00000A040000}"/>
    <cellStyle name="0_!!!GO_consolidated detailed IS 2004_V32(3) (2004)_Management accounts 2006(UPDATED)" xfId="1620" xr:uid="{00000000-0005-0000-0000-00000B040000}"/>
    <cellStyle name="0_!!!GO_consolidated detailed IS 2004_V32(7) (2004)fixed as per DTT" xfId="1621" xr:uid="{00000000-0005-0000-0000-00000C040000}"/>
    <cellStyle name="0_!!!GO_consolidated detailed IS 2004_V32(7) (2004)fixed as per DTT_Consolidation_2006_Summary (v2) (1)" xfId="1622" xr:uid="{00000000-0005-0000-0000-00000D040000}"/>
    <cellStyle name="0_!!!GO_consolidated detailed IS 2004_V32(7) (2004)fixed as per DTT_Consolidation_2006_Summary (v3)" xfId="1623" xr:uid="{00000000-0005-0000-0000-00000E040000}"/>
    <cellStyle name="0_!!!GO_consolidated detailed IS 2004_V32(7) (2004)fixed as per DTT_Consolidation_2006_Summary audit" xfId="1624" xr:uid="{00000000-0005-0000-0000-00000F040000}"/>
    <cellStyle name="0_!!!GO_consolidated detailed IS 2004_V32(7) (2004)fixed as per DTT_Consolidation_2006_Summary auditBS &amp; PL" xfId="1625" xr:uid="{00000000-0005-0000-0000-000010040000}"/>
    <cellStyle name="0_!!!GO_consolidated detailed IS 2004_V32(7) (2004)fixed as per DTT_Management accounts 2006(UPDATED)" xfId="1626" xr:uid="{00000000-0005-0000-0000-000011040000}"/>
    <cellStyle name="0_!!!GO_consolidated detailed IS 2004_V32(9) DTT(2004)as per DTTNov 1306" xfId="1627" xr:uid="{00000000-0005-0000-0000-000012040000}"/>
    <cellStyle name="0_!!!GO_consolidated detailed IS 2004_V32(9) DTT(2004)as per DTTNov 1306_Consolidation_2006_Summary (v2) (1)" xfId="1628" xr:uid="{00000000-0005-0000-0000-000013040000}"/>
    <cellStyle name="0_!!!GO_consolidated detailed IS 2004_V32(9) DTT(2004)as per DTTNov 1306_Consolidation_2006_Summary (v3)" xfId="1629" xr:uid="{00000000-0005-0000-0000-000014040000}"/>
    <cellStyle name="0_!!!GO_consolidated detailed IS 2004_V32(9) DTT(2004)as per DTTNov 1306_Consolidation_2006_Summary audit" xfId="1630" xr:uid="{00000000-0005-0000-0000-000015040000}"/>
    <cellStyle name="0_!!!GO_consolidated detailed IS 2004_V32(9) DTT(2004)as per DTTNov 1306_Consolidation_2006_Summary auditBS &amp; PL" xfId="1631" xr:uid="{00000000-0005-0000-0000-000016040000}"/>
    <cellStyle name="0_!!!GO_consolidated detailed IS 2004_V32(9) DTT(2004)as per DTTNov 1306_Management accounts 2006(UPDATED)" xfId="1632" xr:uid="{00000000-0005-0000-0000-000017040000}"/>
    <cellStyle name="0_!!!GO_consolidated detailed IS 2004_V38(5)(2005) " xfId="1633" xr:uid="{00000000-0005-0000-0000-000018040000}"/>
    <cellStyle name="0_!!!GO_consolidated detailed IS 2004_V38(8)(2005)fixed as per DTT " xfId="1634" xr:uid="{00000000-0005-0000-0000-000019040000}"/>
    <cellStyle name="0_!!!GO_consolidated detailed IS 2004_V39(2005) " xfId="1635" xr:uid="{00000000-0005-0000-0000-00001A040000}"/>
    <cellStyle name="0_!!!GO_consolidated detailed IS 2004_v3march1705KORD Workings to notes to 6-k 2004_v17.3.06" xfId="1636" xr:uid="{00000000-0005-0000-0000-00001B040000}"/>
    <cellStyle name="0_!!!GO_consolidated detailed IS 2004_V4Dec 2005  1" xfId="1637" xr:uid="{00000000-0005-0000-0000-00001C040000}"/>
    <cellStyle name="0_!!!GO_consolidated detailed IS 2004_V8TCWorkings to notes to 6-k June05" xfId="1638" xr:uid="{00000000-0005-0000-0000-00001D040000}"/>
    <cellStyle name="0_!!!GO_consolidated detailed IS 2004_Workings to notes to 20F" xfId="1639" xr:uid="{00000000-0005-0000-0000-00001E040000}"/>
    <cellStyle name="0_!!!GO_consolidated detailed IS 2004_Workings to notes to 20F(v3)" xfId="1640" xr:uid="{00000000-0005-0000-0000-00001F040000}"/>
    <cellStyle name="0_!!!GO_consolidated detailed IS 2004_Workings to notes to 20F_(3)Grand US workings December 2005" xfId="1641" xr:uid="{00000000-0005-0000-0000-000020040000}"/>
    <cellStyle name="0_!!!GO_consolidated detailed IS 2004_Workings to notes to 20F_(3)Grand US workings December 2005_Book1" xfId="1642" xr:uid="{00000000-0005-0000-0000-000021040000}"/>
    <cellStyle name="0_!!!GO_consolidated detailed IS 2004_Workings to notes to 20F_(3)Grand US workings December 2005_Consolidation_2006_Summary (v2) (1)" xfId="1643" xr:uid="{00000000-0005-0000-0000-000022040000}"/>
    <cellStyle name="0_!!!GO_consolidated detailed IS 2004_Workings to notes to 20F_(3)Grand US workings December 2005_Consolidation_2006_Summary (v3)" xfId="1644" xr:uid="{00000000-0005-0000-0000-000023040000}"/>
    <cellStyle name="0_!!!GO_consolidated detailed IS 2004_Workings to notes to 20F_(3)Grand US workings December 2005_Consolidation_2006_Summary audit" xfId="1645" xr:uid="{00000000-0005-0000-0000-000024040000}"/>
    <cellStyle name="0_!!!GO_consolidated detailed IS 2004_Workings to notes to 20F_(3)Grand US workings December 2005_Consolidation_2006_Summary auditBS &amp; PL" xfId="1646" xr:uid="{00000000-0005-0000-0000-000025040000}"/>
    <cellStyle name="0_!!!GO_consolidated detailed IS 2004_Workings to notes to 20F_(3)Grand US workings December 2005_DeferredTaxLiabilitiesOnFixedAssets" xfId="1647" xr:uid="{00000000-0005-0000-0000-000026040000}"/>
    <cellStyle name="0_!!!GO_consolidated detailed IS 2004_Workings to notes to 20F_(3)Grand US workings December 2005_Management accounts 2006(UPDATED)" xfId="1648" xr:uid="{00000000-0005-0000-0000-000027040000}"/>
    <cellStyle name="0_!!!GO_consolidated detailed IS 2004_Workings to notes to 20F_A2PLAYWELLWorkings to notes to 6-k Dec 051" xfId="1649" xr:uid="{00000000-0005-0000-0000-000028040000}"/>
    <cellStyle name="0_!!!GO_consolidated detailed IS 2004_Workings to notes to 20F_BLANK(iNT pLAY))(2)Workings to notes to 6-k September051" xfId="1650" xr:uid="{00000000-0005-0000-0000-000029040000}"/>
    <cellStyle name="0_!!!GO_consolidated detailed IS 2004_Workings to notes to 20F_BLANK(iNT pLAY))Workings to notes to 6-k June05" xfId="1651" xr:uid="{00000000-0005-0000-0000-00002A040000}"/>
    <cellStyle name="0_!!!GO_consolidated detailed IS 2004_Workings to notes to 20F_Book1" xfId="1652" xr:uid="{00000000-0005-0000-0000-00002B040000}"/>
    <cellStyle name="0_!!!GO_consolidated detailed IS 2004_Workings to notes to 20F_cashflow05K01" xfId="1653" xr:uid="{00000000-0005-0000-0000-00002C040000}"/>
    <cellStyle name="0_!!!GO_consolidated detailed IS 2004_Workings to notes to 20F_consolidation entries 2004" xfId="1654" xr:uid="{00000000-0005-0000-0000-00002D040000}"/>
    <cellStyle name="0_!!!GO_consolidated detailed IS 2004_Workings to notes to 20F_consolidation entries 2004_Consolidation_2006_Summary (v2) (1)" xfId="1655" xr:uid="{00000000-0005-0000-0000-00002E040000}"/>
    <cellStyle name="0_!!!GO_consolidated detailed IS 2004_Workings to notes to 20F_consolidation entries 2004_Consolidation_2006_Summary (v3)" xfId="1656" xr:uid="{00000000-0005-0000-0000-00002F040000}"/>
    <cellStyle name="0_!!!GO_consolidated detailed IS 2004_Workings to notes to 20F_consolidation entries 2004_Consolidation_2006_Summary audit" xfId="1657" xr:uid="{00000000-0005-0000-0000-000030040000}"/>
    <cellStyle name="0_!!!GO_consolidated detailed IS 2004_Workings to notes to 20F_consolidation entries 2004_Consolidation_2006_Summary auditBS &amp; PL" xfId="1658" xr:uid="{00000000-0005-0000-0000-000031040000}"/>
    <cellStyle name="0_!!!GO_consolidated detailed IS 2004_Workings to notes to 20F_consolidation entries 2004_Management accounts 2006(UPDATED)" xfId="1659" xr:uid="{00000000-0005-0000-0000-000032040000}"/>
    <cellStyle name="0_!!!GO_consolidated detailed IS 2004_Workings to notes to 20F_corporate tax entry allocation" xfId="1660" xr:uid="{00000000-0005-0000-0000-000033040000}"/>
    <cellStyle name="0_!!!GO_consolidated detailed IS 2004_Workings to notes to 20F_DeferredTaxLiabilitiesOnFixedAssets" xfId="1661" xr:uid="{00000000-0005-0000-0000-000034040000}"/>
    <cellStyle name="0_!!!GO_consolidated detailed IS 2004_Workings to notes to 20F_Detailed Conso july 2005" xfId="1662" xr:uid="{00000000-0005-0000-0000-000035040000}"/>
    <cellStyle name="0_!!!GO_consolidated detailed IS 2004_Workings to notes to 20F_Detailed Conso july 2005_Book1" xfId="1663" xr:uid="{00000000-0005-0000-0000-000036040000}"/>
    <cellStyle name="0_!!!GO_consolidated detailed IS 2004_Workings to notes to 20F_Detailed Conso july 2005_Consolidation_2006_Summary (v2) (1)" xfId="1664" xr:uid="{00000000-0005-0000-0000-000037040000}"/>
    <cellStyle name="0_!!!GO_consolidated detailed IS 2004_Workings to notes to 20F_Detailed Conso july 2005_Consolidation_2006_Summary (v3)" xfId="1665" xr:uid="{00000000-0005-0000-0000-000038040000}"/>
    <cellStyle name="0_!!!GO_consolidated detailed IS 2004_Workings to notes to 20F_Detailed Conso july 2005_Consolidation_2006_Summary audit" xfId="1666" xr:uid="{00000000-0005-0000-0000-000039040000}"/>
    <cellStyle name="0_!!!GO_consolidated detailed IS 2004_Workings to notes to 20F_Detailed Conso july 2005_Consolidation_2006_Summary auditBS &amp; PL" xfId="1667" xr:uid="{00000000-0005-0000-0000-00003A040000}"/>
    <cellStyle name="0_!!!GO_consolidated detailed IS 2004_Workings to notes to 20F_Detailed Conso july 2005_DeferredTaxLiabilitiesOnFixedAssets" xfId="1668" xr:uid="{00000000-0005-0000-0000-00003B040000}"/>
    <cellStyle name="0_!!!GO_consolidated detailed IS 2004_Workings to notes to 20F_Detailed Conso july 2005_Management accounts 2006(UPDATED)" xfId="1669" xr:uid="{00000000-0005-0000-0000-00003C040000}"/>
    <cellStyle name="0_!!!GO_consolidated detailed IS 2004_Workings to notes to 20F_FA2005schedule" xfId="1670" xr:uid="{00000000-0005-0000-0000-00003D040000}"/>
    <cellStyle name="0_!!!GO_consolidated detailed IS 2004_Workings to notes to 20F_Grand US workings December 2005" xfId="1671" xr:uid="{00000000-0005-0000-0000-00003E040000}"/>
    <cellStyle name="0_!!!GO_consolidated detailed IS 2004_Workings to notes to 20F_Grand US workings December 2005_Book1" xfId="1672" xr:uid="{00000000-0005-0000-0000-00003F040000}"/>
    <cellStyle name="0_!!!GO_consolidated detailed IS 2004_Workings to notes to 20F_Grand US workings December 2005_Consolidation_2006_Summary (v2) (1)" xfId="1673" xr:uid="{00000000-0005-0000-0000-000040040000}"/>
    <cellStyle name="0_!!!GO_consolidated detailed IS 2004_Workings to notes to 20F_Grand US workings December 2005_Consolidation_2006_Summary (v3)" xfId="1674" xr:uid="{00000000-0005-0000-0000-000041040000}"/>
    <cellStyle name="0_!!!GO_consolidated detailed IS 2004_Workings to notes to 20F_Grand US workings December 2005_Consolidation_2006_Summary audit" xfId="1675" xr:uid="{00000000-0005-0000-0000-000042040000}"/>
    <cellStyle name="0_!!!GO_consolidated detailed IS 2004_Workings to notes to 20F_Grand US workings December 2005_Consolidation_2006_Summary auditBS &amp; PL" xfId="1676" xr:uid="{00000000-0005-0000-0000-000043040000}"/>
    <cellStyle name="0_!!!GO_consolidated detailed IS 2004_Workings to notes to 20F_Grand US workings December 2005_DeferredTaxLiabilitiesOnFixedAssets" xfId="1677" xr:uid="{00000000-0005-0000-0000-000044040000}"/>
    <cellStyle name="0_!!!GO_consolidated detailed IS 2004_Workings to notes to 20F_Grand US workings December 2005_Management accounts 2006(UPDATED)" xfId="1678" xr:uid="{00000000-0005-0000-0000-000045040000}"/>
    <cellStyle name="0_!!!GO_consolidated detailed IS 2004_Workings to notes to 20F_Grand US workings June2005" xfId="1679" xr:uid="{00000000-0005-0000-0000-000046040000}"/>
    <cellStyle name="0_!!!GO_consolidated detailed IS 2004_Workings to notes to 20F_Grand US workings June2005_Book1" xfId="1680" xr:uid="{00000000-0005-0000-0000-000047040000}"/>
    <cellStyle name="0_!!!GO_consolidated detailed IS 2004_Workings to notes to 20F_Grand US workings June2005_Consolidation_2006_Summary (v2) (1)" xfId="1681" xr:uid="{00000000-0005-0000-0000-000048040000}"/>
    <cellStyle name="0_!!!GO_consolidated detailed IS 2004_Workings to notes to 20F_Grand US workings June2005_Consolidation_2006_Summary (v3)" xfId="1682" xr:uid="{00000000-0005-0000-0000-000049040000}"/>
    <cellStyle name="0_!!!GO_consolidated detailed IS 2004_Workings to notes to 20F_Grand US workings June2005_Consolidation_2006_Summary audit" xfId="1683" xr:uid="{00000000-0005-0000-0000-00004A040000}"/>
    <cellStyle name="0_!!!GO_consolidated detailed IS 2004_Workings to notes to 20F_Grand US workings June2005_Consolidation_2006_Summary auditBS &amp; PL" xfId="1684" xr:uid="{00000000-0005-0000-0000-00004B040000}"/>
    <cellStyle name="0_!!!GO_consolidated detailed IS 2004_Workings to notes to 20F_Grand US workings June2005_DeferredTaxLiabilitiesOnFixedAssets" xfId="1685" xr:uid="{00000000-0005-0000-0000-00004C040000}"/>
    <cellStyle name="0_!!!GO_consolidated detailed IS 2004_Workings to notes to 20F_Grand US workings June2005_Management accounts 2006(UPDATED)" xfId="1686" xr:uid="{00000000-0005-0000-0000-00004D040000}"/>
    <cellStyle name="0_!!!GO_consolidated detailed IS 2004_Workings to notes to 20F_Grand US workings June2005_V10Workings to notes to 6-k June05 (2)" xfId="1687" xr:uid="{00000000-0005-0000-0000-00004E040000}"/>
    <cellStyle name="0_!!!GO_consolidated detailed IS 2004_Workings to notes to 20F_HUAYANGv5(revised by dy)  wORKINGS TO nOITE DEC 3104" xfId="1688" xr:uid="{00000000-0005-0000-0000-00004F040000}"/>
    <cellStyle name="0_!!!GO_consolidated detailed IS 2004_Workings to notes to 20F_HUAYANGWorkings to notes to 6-k FY2005-Consol" xfId="1689" xr:uid="{00000000-0005-0000-0000-000050040000}"/>
    <cellStyle name="0_!!!GO_consolidated detailed IS 2004_Workings to notes to 20F_Inventory  AR March 31 2005" xfId="1690" xr:uid="{00000000-0005-0000-0000-000051040000}"/>
    <cellStyle name="0_!!!GO_consolidated detailed IS 2004_Workings to notes to 20F_KD(5) Workings to notes to 6-k 2005_v17.3.06" xfId="1691" xr:uid="{00000000-0005-0000-0000-000052040000}"/>
    <cellStyle name="0_!!!GO_consolidated detailed IS 2004_Workings to notes to 20F_KORD Workings to notes to 6-k 2005_v17.3.06" xfId="1692" xr:uid="{00000000-0005-0000-0000-000053040000}"/>
    <cellStyle name="0_!!!GO_consolidated detailed IS 2004_Workings to notes to 20F_NOTES TO CASH" xfId="1693" xr:uid="{00000000-0005-0000-0000-000054040000}"/>
    <cellStyle name="0_!!!GO_consolidated detailed IS 2004_Workings to notes to 20F_October 2005BLANK(PLAYWELL)Workings to notes to 6-k Sept05" xfId="1694" xr:uid="{00000000-0005-0000-0000-000055040000}"/>
    <cellStyle name="0_!!!GO_consolidated detailed IS 2004_Workings to notes to 20F_OPTIONS  RECAPjune10,2005updated" xfId="1695" xr:uid="{00000000-0005-0000-0000-000056040000}"/>
    <cellStyle name="0_!!!GO_consolidated detailed IS 2004_Workings to notes to 20F_PIL RPT movements" xfId="1696" xr:uid="{00000000-0005-0000-0000-000057040000}"/>
    <cellStyle name="0_!!!GO_consolidated detailed IS 2004_Workings to notes to 20F_PLAYWELL Workings to notes to 6-k Dec 05" xfId="1697" xr:uid="{00000000-0005-0000-0000-000058040000}"/>
    <cellStyle name="0_!!!GO_consolidated detailed IS 2004_Workings to notes to 20F_PLAYWELL Workings to notes to 6-k June04" xfId="1698" xr:uid="{00000000-0005-0000-0000-000059040000}"/>
    <cellStyle name="0_!!!GO_consolidated detailed IS 2004_Workings to notes to 20F_Sheet2" xfId="1699" xr:uid="{00000000-0005-0000-0000-00005A040000}"/>
    <cellStyle name="0_!!!GO_consolidated detailed IS 2004_Workings to notes to 20F_Sheet3" xfId="1700" xr:uid="{00000000-0005-0000-0000-00005B040000}"/>
    <cellStyle name="0_!!!GO_consolidated detailed IS 2004_Workings to notes to 20F_Sheet4" xfId="1701" xr:uid="{00000000-0005-0000-0000-00005C040000}"/>
    <cellStyle name="0_!!!GO_consolidated detailed IS 2004_Workings to notes to 20F_Top Lines (AC)" xfId="1702" xr:uid="{00000000-0005-0000-0000-00005D040000}"/>
    <cellStyle name="0_!!!GO_consolidated detailed IS 2004_Workings to notes to 20F_V1 Dec 2005  1" xfId="1703" xr:uid="{00000000-0005-0000-0000-00005E040000}"/>
    <cellStyle name="0_!!!GO_consolidated detailed IS 2004_Workings to notes to 20F_V1 July05 " xfId="1704" xr:uid="{00000000-0005-0000-0000-00005F040000}"/>
    <cellStyle name="0_!!!GO_consolidated detailed IS 2004_Workings to notes to 20F_V10Workings to notes to 6-k June05 (2)" xfId="1705" xr:uid="{00000000-0005-0000-0000-000060040000}"/>
    <cellStyle name="0_!!!GO_consolidated detailed IS 2004_Workings to notes to 20F_V11workings to notes to 2004 inc HY and KD1" xfId="1706" xr:uid="{00000000-0005-0000-0000-000061040000}"/>
    <cellStyle name="0_!!!GO_consolidated detailed IS 2004_Workings to notes to 20F_V11workings to notes to 2004 inc HY and KD1_Book1" xfId="1707" xr:uid="{00000000-0005-0000-0000-000062040000}"/>
    <cellStyle name="0_!!!GO_consolidated detailed IS 2004_Workings to notes to 20F_V11workings to notes to 2004 inc HY and KD1_Consolidation_2006_Summary (v2) (1)" xfId="1708" xr:uid="{00000000-0005-0000-0000-000063040000}"/>
    <cellStyle name="0_!!!GO_consolidated detailed IS 2004_Workings to notes to 20F_V11workings to notes to 2004 inc HY and KD1_Consolidation_2006_Summary (v3)" xfId="1709" xr:uid="{00000000-0005-0000-0000-000064040000}"/>
    <cellStyle name="0_!!!GO_consolidated detailed IS 2004_Workings to notes to 20F_V11workings to notes to 2004 inc HY and KD1_Consolidation_2006_Summary audit" xfId="1710" xr:uid="{00000000-0005-0000-0000-000065040000}"/>
    <cellStyle name="0_!!!GO_consolidated detailed IS 2004_Workings to notes to 20F_V11workings to notes to 2004 inc HY and KD1_Consolidation_2006_Summary auditBS &amp; PL" xfId="1711" xr:uid="{00000000-0005-0000-0000-000066040000}"/>
    <cellStyle name="0_!!!GO_consolidated detailed IS 2004_Workings to notes to 20F_V11workings to notes to 2004 inc HY and KD1_DeferredTaxLiabilitiesOnFixedAssets" xfId="1712" xr:uid="{00000000-0005-0000-0000-000067040000}"/>
    <cellStyle name="0_!!!GO_consolidated detailed IS 2004_Workings to notes to 20F_V11workings to notes to 2004 inc HY and KD1_Management accounts 2006(UPDATED)" xfId="1713" xr:uid="{00000000-0005-0000-0000-000068040000}"/>
    <cellStyle name="0_!!!GO_consolidated detailed IS 2004_Workings to notes to 20F_V14 Dec 2005  1" xfId="1714" xr:uid="{00000000-0005-0000-0000-000069040000}"/>
    <cellStyle name="0_!!!GO_consolidated detailed IS 2004_Workings to notes to 20F_V18 Dec 2005 TC" xfId="1715" xr:uid="{00000000-0005-0000-0000-00006A040000}"/>
    <cellStyle name="0_!!!GO_consolidated detailed IS 2004_Workings to notes to 20F_V29workings to notes to 2004 inc HY and KD1(1)" xfId="1716" xr:uid="{00000000-0005-0000-0000-00006B040000}"/>
    <cellStyle name="0_!!!GO_consolidated detailed IS 2004_Workings to notes to 20F_V29workings to notes to 2004 inc HY and KD1(1)_Book1" xfId="1717" xr:uid="{00000000-0005-0000-0000-00006C040000}"/>
    <cellStyle name="0_!!!GO_consolidated detailed IS 2004_Workings to notes to 20F_V29workings to notes to 2004 inc HY and KD1(1)_Consolidation_2006_Summary (v2) (1)" xfId="1718" xr:uid="{00000000-0005-0000-0000-00006D040000}"/>
    <cellStyle name="0_!!!GO_consolidated detailed IS 2004_Workings to notes to 20F_V29workings to notes to 2004 inc HY and KD1(1)_Consolidation_2006_Summary (v3)" xfId="1719" xr:uid="{00000000-0005-0000-0000-00006E040000}"/>
    <cellStyle name="0_!!!GO_consolidated detailed IS 2004_Workings to notes to 20F_V29workings to notes to 2004 inc HY and KD1(1)_Consolidation_2006_Summary audit" xfId="1720" xr:uid="{00000000-0005-0000-0000-00006F040000}"/>
    <cellStyle name="0_!!!GO_consolidated detailed IS 2004_Workings to notes to 20F_V29workings to notes to 2004 inc HY and KD1(1)_Consolidation_2006_Summary auditBS &amp; PL" xfId="1721" xr:uid="{00000000-0005-0000-0000-000070040000}"/>
    <cellStyle name="0_!!!GO_consolidated detailed IS 2004_Workings to notes to 20F_V29workings to notes to 2004 inc HY and KD1(1)_DeferredTaxLiabilitiesOnFixedAssets" xfId="1722" xr:uid="{00000000-0005-0000-0000-000071040000}"/>
    <cellStyle name="0_!!!GO_consolidated detailed IS 2004_Workings to notes to 20F_V29workings to notes to 2004 inc HY and KD1(1)_Management accounts 2006(UPDATED)" xfId="1723" xr:uid="{00000000-0005-0000-0000-000072040000}"/>
    <cellStyle name="0_!!!GO_consolidated detailed IS 2004_Workings to notes to 20F_V2BLANK(PLAYWELL)Workings to notes to 6-k June05" xfId="1724" xr:uid="{00000000-0005-0000-0000-000073040000}"/>
    <cellStyle name="0_!!!GO_consolidated detailed IS 2004_Workings to notes to 20F_V2Dec 2005  1" xfId="1725" xr:uid="{00000000-0005-0000-0000-000074040000}"/>
    <cellStyle name="0_!!!GO_consolidated detailed IS 2004_Workings to notes to 20F_V2DSep2005 " xfId="1726" xr:uid="{00000000-0005-0000-0000-000075040000}"/>
    <cellStyle name="0_!!!GO_consolidated detailed IS 2004_Workings to notes to 20F_V2FSep2005 tc" xfId="1727" xr:uid="{00000000-0005-0000-0000-000076040000}"/>
    <cellStyle name="0_!!!GO_consolidated detailed IS 2004_Workings to notes to 20F_V2ISep2005 " xfId="1728" xr:uid="{00000000-0005-0000-0000-000077040000}"/>
    <cellStyle name="0_!!!GO_consolidated detailed IS 2004_Workings to notes to 20F_V2October 19 05Workings to notes to 6-k Sept05" xfId="1729" xr:uid="{00000000-0005-0000-0000-000078040000}"/>
    <cellStyle name="0_!!!GO_consolidated detailed IS 2004_Workings to notes to 20F_V30workings to notes to 2004 inc HY and KD1(1)" xfId="1730" xr:uid="{00000000-0005-0000-0000-000079040000}"/>
    <cellStyle name="0_!!!GO_consolidated detailed IS 2004_Workings to notes to 20F_V30workings to notes to 2004 inc HY and KD1(1)_Book1" xfId="1731" xr:uid="{00000000-0005-0000-0000-00007A040000}"/>
    <cellStyle name="0_!!!GO_consolidated detailed IS 2004_Workings to notes to 20F_V30workings to notes to 2004 inc HY and KD1(1)_Consolidation_2006_Summary (v2) (1)" xfId="1732" xr:uid="{00000000-0005-0000-0000-00007B040000}"/>
    <cellStyle name="0_!!!GO_consolidated detailed IS 2004_Workings to notes to 20F_V30workings to notes to 2004 inc HY and KD1(1)_Consolidation_2006_Summary (v3)" xfId="1733" xr:uid="{00000000-0005-0000-0000-00007C040000}"/>
    <cellStyle name="0_!!!GO_consolidated detailed IS 2004_Workings to notes to 20F_V30workings to notes to 2004 inc HY and KD1(1)_Consolidation_2006_Summary audit" xfId="1734" xr:uid="{00000000-0005-0000-0000-00007D040000}"/>
    <cellStyle name="0_!!!GO_consolidated detailed IS 2004_Workings to notes to 20F_V30workings to notes to 2004 inc HY and KD1(1)_Consolidation_2006_Summary auditBS &amp; PL" xfId="1735" xr:uid="{00000000-0005-0000-0000-00007E040000}"/>
    <cellStyle name="0_!!!GO_consolidated detailed IS 2004_Workings to notes to 20F_V30workings to notes to 2004 inc HY and KD1(1)_DeferredTaxLiabilitiesOnFixedAssets" xfId="1736" xr:uid="{00000000-0005-0000-0000-00007F040000}"/>
    <cellStyle name="0_!!!GO_consolidated detailed IS 2004_Workings to notes to 20F_V30workings to notes to 2004 inc HY and KD1(1)_Management accounts 2006(UPDATED)" xfId="1737" xr:uid="{00000000-0005-0000-0000-000080040000}"/>
    <cellStyle name="0_!!!GO_consolidated detailed IS 2004_Workings to notes to 20F_V31 Dec 2005 " xfId="1738" xr:uid="{00000000-0005-0000-0000-000081040000}"/>
    <cellStyle name="0_!!!GO_consolidated detailed IS 2004_Workings to notes to 20F_V31(2) Dec 2005 (2)" xfId="1739" xr:uid="{00000000-0005-0000-0000-000082040000}"/>
    <cellStyle name="0_!!!GO_consolidated detailed IS 2004_Workings to notes to 20F_V32(2) (2004)" xfId="1740" xr:uid="{00000000-0005-0000-0000-000083040000}"/>
    <cellStyle name="0_!!!GO_consolidated detailed IS 2004_Workings to notes to 20F_V32(2) (2004)_Consolidation_2006_Summary (v2) (1)" xfId="1741" xr:uid="{00000000-0005-0000-0000-000084040000}"/>
    <cellStyle name="0_!!!GO_consolidated detailed IS 2004_Workings to notes to 20F_V32(2) (2004)_Consolidation_2006_Summary (v3)" xfId="1742" xr:uid="{00000000-0005-0000-0000-000085040000}"/>
    <cellStyle name="0_!!!GO_consolidated detailed IS 2004_Workings to notes to 20F_V32(2) (2004)_Consolidation_2006_Summary audit" xfId="1743" xr:uid="{00000000-0005-0000-0000-000086040000}"/>
    <cellStyle name="0_!!!GO_consolidated detailed IS 2004_Workings to notes to 20F_V32(2) (2004)_Consolidation_2006_Summary auditBS &amp; PL" xfId="1744" xr:uid="{00000000-0005-0000-0000-000087040000}"/>
    <cellStyle name="0_!!!GO_consolidated detailed IS 2004_Workings to notes to 20F_V32(2) (2004)_Management accounts 2006(UPDATED)" xfId="1745" xr:uid="{00000000-0005-0000-0000-000088040000}"/>
    <cellStyle name="0_!!!GO_consolidated detailed IS 2004_Workings to notes to 20F_V32(3) (2004)" xfId="1746" xr:uid="{00000000-0005-0000-0000-000089040000}"/>
    <cellStyle name="0_!!!GO_consolidated detailed IS 2004_Workings to notes to 20F_V32(3) (2004)_Consolidation_2006_Summary (v2) (1)" xfId="1747" xr:uid="{00000000-0005-0000-0000-00008A040000}"/>
    <cellStyle name="0_!!!GO_consolidated detailed IS 2004_Workings to notes to 20F_V32(3) (2004)_Consolidation_2006_Summary (v3)" xfId="1748" xr:uid="{00000000-0005-0000-0000-00008B040000}"/>
    <cellStyle name="0_!!!GO_consolidated detailed IS 2004_Workings to notes to 20F_V32(3) (2004)_Consolidation_2006_Summary audit" xfId="1749" xr:uid="{00000000-0005-0000-0000-00008C040000}"/>
    <cellStyle name="0_!!!GO_consolidated detailed IS 2004_Workings to notes to 20F_V32(3) (2004)_Consolidation_2006_Summary auditBS &amp; PL" xfId="1750" xr:uid="{00000000-0005-0000-0000-00008D040000}"/>
    <cellStyle name="0_!!!GO_consolidated detailed IS 2004_Workings to notes to 20F_V32(3) (2004)_Management accounts 2006(UPDATED)" xfId="1751" xr:uid="{00000000-0005-0000-0000-00008E040000}"/>
    <cellStyle name="0_!!!GO_consolidated detailed IS 2004_Workings to notes to 20F_V32(7) (2004)fixed as per DTT" xfId="1752" xr:uid="{00000000-0005-0000-0000-00008F040000}"/>
    <cellStyle name="0_!!!GO_consolidated detailed IS 2004_Workings to notes to 20F_V32(7) (2004)fixed as per DTT_Consolidation_2006_Summary (v2) (1)" xfId="1753" xr:uid="{00000000-0005-0000-0000-000090040000}"/>
    <cellStyle name="0_!!!GO_consolidated detailed IS 2004_Workings to notes to 20F_V32(7) (2004)fixed as per DTT_Consolidation_2006_Summary (v3)" xfId="1754" xr:uid="{00000000-0005-0000-0000-000091040000}"/>
    <cellStyle name="0_!!!GO_consolidated detailed IS 2004_Workings to notes to 20F_V32(7) (2004)fixed as per DTT_Consolidation_2006_Summary audit" xfId="1755" xr:uid="{00000000-0005-0000-0000-000092040000}"/>
    <cellStyle name="0_!!!GO_consolidated detailed IS 2004_Workings to notes to 20F_V32(7) (2004)fixed as per DTT_Consolidation_2006_Summary auditBS &amp; PL" xfId="1756" xr:uid="{00000000-0005-0000-0000-000093040000}"/>
    <cellStyle name="0_!!!GO_consolidated detailed IS 2004_Workings to notes to 20F_V32(7) (2004)fixed as per DTT_Management accounts 2006(UPDATED)" xfId="1757" xr:uid="{00000000-0005-0000-0000-000094040000}"/>
    <cellStyle name="0_!!!GO_consolidated detailed IS 2004_Workings to notes to 20F_V32(9) DTT(2004)as per DTTNov 1306" xfId="1758" xr:uid="{00000000-0005-0000-0000-000095040000}"/>
    <cellStyle name="0_!!!GO_consolidated detailed IS 2004_Workings to notes to 20F_V32(9) DTT(2004)as per DTTNov 1306_Consolidation_2006_Summary (v2) (1)" xfId="1759" xr:uid="{00000000-0005-0000-0000-000096040000}"/>
    <cellStyle name="0_!!!GO_consolidated detailed IS 2004_Workings to notes to 20F_V32(9) DTT(2004)as per DTTNov 1306_Consolidation_2006_Summary (v3)" xfId="1760" xr:uid="{00000000-0005-0000-0000-000097040000}"/>
    <cellStyle name="0_!!!GO_consolidated detailed IS 2004_Workings to notes to 20F_V32(9) DTT(2004)as per DTTNov 1306_Consolidation_2006_Summary audit" xfId="1761" xr:uid="{00000000-0005-0000-0000-000098040000}"/>
    <cellStyle name="0_!!!GO_consolidated detailed IS 2004_Workings to notes to 20F_V32(9) DTT(2004)as per DTTNov 1306_Consolidation_2006_Summary auditBS &amp; PL" xfId="1762" xr:uid="{00000000-0005-0000-0000-000099040000}"/>
    <cellStyle name="0_!!!GO_consolidated detailed IS 2004_Workings to notes to 20F_V32(9) DTT(2004)as per DTTNov 1306_Management accounts 2006(UPDATED)" xfId="1763" xr:uid="{00000000-0005-0000-0000-00009A040000}"/>
    <cellStyle name="0_!!!GO_consolidated detailed IS 2004_Workings to notes to 20F_V38(5)(2005) " xfId="1764" xr:uid="{00000000-0005-0000-0000-00009B040000}"/>
    <cellStyle name="0_!!!GO_consolidated detailed IS 2004_Workings to notes to 20F_V38(8)(2005)fixed as per DTT " xfId="1765" xr:uid="{00000000-0005-0000-0000-00009C040000}"/>
    <cellStyle name="0_!!!GO_consolidated detailed IS 2004_Workings to notes to 20F_V39(2005) " xfId="1766" xr:uid="{00000000-0005-0000-0000-00009D040000}"/>
    <cellStyle name="0_!!!GO_consolidated detailed IS 2004_Workings to notes to 20F_v3march1705KORD Workings to notes to 6-k 2004_v17.3.06" xfId="1767" xr:uid="{00000000-0005-0000-0000-00009E040000}"/>
    <cellStyle name="0_!!!GO_consolidated detailed IS 2004_Workings to notes to 20F_V4Dec 2005  1" xfId="1768" xr:uid="{00000000-0005-0000-0000-00009F040000}"/>
    <cellStyle name="0_!!!GO_consolidated detailed IS 2004_Workings to notes to 20F_V8TCWorkings to notes to 6-k June05" xfId="1769" xr:uid="{00000000-0005-0000-0000-0000A0040000}"/>
    <cellStyle name="0_!!!GO_consolidated detailed IS 2004_Workings to notes to 20F_Workings to notes to 6-k FY2005-Consol-V3" xfId="1770" xr:uid="{00000000-0005-0000-0000-0000A1040000}"/>
    <cellStyle name="0_!!!GO_consolidated detailed IS 2004_Workings to notes to 20F_Workings to notes to 6-k FY2005-Consol-V37" xfId="1771" xr:uid="{00000000-0005-0000-0000-0000A2040000}"/>
    <cellStyle name="0_!!!GO_consolidated detailed IS 2004_Workings to notes to 20F_Workings to notes to 6-k FY2005-Consol-V8" xfId="1772" xr:uid="{00000000-0005-0000-0000-0000A3040000}"/>
    <cellStyle name="0_!!!GO_consolidated detailed IS 2004_Workings to notes to 20F_Workings to notes to 6-k June05v1" xfId="1773" xr:uid="{00000000-0005-0000-0000-0000A4040000}"/>
    <cellStyle name="0_!!!GO_consolidated detailed IS 2004_Workings to notes to 20F_Workings to notes to 6-k June05v2" xfId="1774" xr:uid="{00000000-0005-0000-0000-0000A5040000}"/>
    <cellStyle name="0_!!!GO_consolidated detailed IS 2004_Workings to notes to 20F_Workings to notes to 6-k June05v3" xfId="1775" xr:uid="{00000000-0005-0000-0000-0000A6040000}"/>
    <cellStyle name="0_!!!GO_consolidated detailed IS 2004_Workings to notes to 20F_Workings to notes to 6-k Mar05v13TC" xfId="1776" xr:uid="{00000000-0005-0000-0000-0000A7040000}"/>
    <cellStyle name="0_!!!GO_consolidated detailed IS 2004_Workings to notes to 20F_Workings to notes to 6-k Mar05v17" xfId="1777" xr:uid="{00000000-0005-0000-0000-0000A8040000}"/>
    <cellStyle name="0_!!!GO_consolidated detailed IS 2004_Workings to notes to 6-k FY2005-Consol-V3" xfId="1778" xr:uid="{00000000-0005-0000-0000-0000A9040000}"/>
    <cellStyle name="0_!!!GO_consolidated detailed IS 2004_Workings to notes to 6-k FY2005-Consol-V37" xfId="1779" xr:uid="{00000000-0005-0000-0000-0000AA040000}"/>
    <cellStyle name="0_!!!GO_consolidated detailed IS 2004_Workings to notes to 6-k FY2005-Consol-V8" xfId="1780" xr:uid="{00000000-0005-0000-0000-0000AB040000}"/>
    <cellStyle name="0_!!!GO_consolidated detailed IS 2004_Workings to notes to 6-k June05v1" xfId="1781" xr:uid="{00000000-0005-0000-0000-0000AC040000}"/>
    <cellStyle name="0_!!!GO_consolidated detailed IS 2004_Workings to notes to 6-k June05v2" xfId="1782" xr:uid="{00000000-0005-0000-0000-0000AD040000}"/>
    <cellStyle name="0_!!!GO_consolidated detailed IS 2004_Workings to notes to 6-k June05v3" xfId="1783" xr:uid="{00000000-0005-0000-0000-0000AE040000}"/>
    <cellStyle name="0_!!!GO_consolidated detailed IS 2004_Workings to notes to 6-k Mar05v13TC" xfId="1784" xr:uid="{00000000-0005-0000-0000-0000AF040000}"/>
    <cellStyle name="0_!!!GO_consolidated detailed IS 2004_Workings to notes to 6-k Mar05v17" xfId="1785" xr:uid="{00000000-0005-0000-0000-0000B0040000}"/>
    <cellStyle name="0_!!!GO_consolidated detailed IS 2004_Workings to notes to 6-k Mar05v19(div)" xfId="1786" xr:uid="{00000000-0005-0000-0000-0000B1040000}"/>
    <cellStyle name="0_!!!GO_final 2004GrandUS only" xfId="1787" xr:uid="{00000000-0005-0000-0000-0000B2040000}"/>
    <cellStyle name="0_!!!GO_final 2004GrandUS only_Book1" xfId="1788" xr:uid="{00000000-0005-0000-0000-0000B3040000}"/>
    <cellStyle name="0_!!!GO_final 2004GrandUS only_Consolidation_2006_Summary (v2) (1)" xfId="1789" xr:uid="{00000000-0005-0000-0000-0000B4040000}"/>
    <cellStyle name="0_!!!GO_final 2004GrandUS only_Consolidation_2006_Summary (v3)" xfId="1790" xr:uid="{00000000-0005-0000-0000-0000B5040000}"/>
    <cellStyle name="0_!!!GO_final 2004GrandUS only_Consolidation_2006_Summary audit" xfId="1791" xr:uid="{00000000-0005-0000-0000-0000B6040000}"/>
    <cellStyle name="0_!!!GO_final 2004GrandUS only_Consolidation_2006_Summary auditBS &amp; PL" xfId="1792" xr:uid="{00000000-0005-0000-0000-0000B7040000}"/>
    <cellStyle name="0_!!!GO_final 2004GrandUS only_DeferredTaxLiabilitiesOnFixedAssets" xfId="1793" xr:uid="{00000000-0005-0000-0000-0000B8040000}"/>
    <cellStyle name="0_!!!GO_final 2004GrandUS only_Management accounts 2006(UPDATED)" xfId="1794" xr:uid="{00000000-0005-0000-0000-0000B9040000}"/>
    <cellStyle name="0_!!!GO_Grand HK Consolidated Consolidated Statements 93004r4" xfId="1795" xr:uid="{00000000-0005-0000-0000-0000BA040000}"/>
    <cellStyle name="0_!!!GO_Grand HK Consolidated Consolidated Statements 93004r4_20-F DEC 31 2004v11" xfId="1796" xr:uid="{00000000-0005-0000-0000-0000BB040000}"/>
    <cellStyle name="0_!!!GO_Grand HK Consolidated Consolidated Statements 93004r4_A4Cash flow1" xfId="1797" xr:uid="{00000000-0005-0000-0000-0000BC040000}"/>
    <cellStyle name="0_!!!GO_Grand HK Consolidated Consolidated Statements 93004r4_AE(tania)consolidated FS oct 30 04revised 2 (nov304R)" xfId="1798" xr:uid="{00000000-0005-0000-0000-0000BD040000}"/>
    <cellStyle name="0_!!!GO_Grand HK Consolidated Consolidated Statements 93004r4_AFconsolidated FS oct 30 04revised 2 (nov304R)(TER)1" xfId="1799" xr:uid="{00000000-0005-0000-0000-0000BE040000}"/>
    <cellStyle name="0_!!!GO_Grand hk scheduels 2005" xfId="1800" xr:uid="{00000000-0005-0000-0000-0000BF040000}"/>
    <cellStyle name="0_!!!GO_Grand hk scheduels 2005_(3)Grand US workings December 2005" xfId="1801" xr:uid="{00000000-0005-0000-0000-0000C0040000}"/>
    <cellStyle name="0_!!!GO_Grand hk scheduels 2005_A2PLAYWELLWorkings to notes to 6-k Dec 051" xfId="1802" xr:uid="{00000000-0005-0000-0000-0000C1040000}"/>
    <cellStyle name="0_!!!GO_Grand hk scheduels 2005_BLANK(iNT pLAY))(2)Workings to notes to 6-k September051" xfId="1803" xr:uid="{00000000-0005-0000-0000-0000C2040000}"/>
    <cellStyle name="0_!!!GO_Grand hk scheduels 2005_BLANK(iNT pLAY))Workings to notes to 6-k June05" xfId="1804" xr:uid="{00000000-0005-0000-0000-0000C3040000}"/>
    <cellStyle name="0_!!!GO_Grand hk scheduels 2005_Book1" xfId="1805" xr:uid="{00000000-0005-0000-0000-0000C4040000}"/>
    <cellStyle name="0_!!!GO_Grand hk scheduels 2005_cashflow05K01" xfId="1806" xr:uid="{00000000-0005-0000-0000-0000C5040000}"/>
    <cellStyle name="0_!!!GO_Grand hk scheduels 2005_consolidation entries 2004" xfId="1807" xr:uid="{00000000-0005-0000-0000-0000C6040000}"/>
    <cellStyle name="0_!!!GO_Grand hk scheduels 2005_corporate tax entry allocation" xfId="1808" xr:uid="{00000000-0005-0000-0000-0000C7040000}"/>
    <cellStyle name="0_!!!GO_Grand hk scheduels 2005_DeferredTaxLiabilitiesOnFixedAssets" xfId="1809" xr:uid="{00000000-0005-0000-0000-0000C8040000}"/>
    <cellStyle name="0_!!!GO_Grand hk scheduels 2005_Detailed Conso july 2005" xfId="1810" xr:uid="{00000000-0005-0000-0000-0000C9040000}"/>
    <cellStyle name="0_!!!GO_Grand hk scheduels 2005_FA2005schedule" xfId="1811" xr:uid="{00000000-0005-0000-0000-0000CA040000}"/>
    <cellStyle name="0_!!!GO_Grand hk scheduels 2005_Grand US workings December 2005" xfId="1812" xr:uid="{00000000-0005-0000-0000-0000CB040000}"/>
    <cellStyle name="0_!!!GO_Grand hk scheduels 2005_Grand US workings June2005" xfId="1813" xr:uid="{00000000-0005-0000-0000-0000CC040000}"/>
    <cellStyle name="0_!!!GO_Grand hk scheduels 2005_HUAYANGWorkings to notes to 6-k FY2005-Consol" xfId="1814" xr:uid="{00000000-0005-0000-0000-0000CD040000}"/>
    <cellStyle name="0_!!!GO_Grand hk scheduels 2005_Inventory  AR March 31 2005" xfId="1815" xr:uid="{00000000-0005-0000-0000-0000CE040000}"/>
    <cellStyle name="0_!!!GO_Grand hk scheduels 2005_KD(5) Workings to notes to 6-k 2005_v17.3.06" xfId="1816" xr:uid="{00000000-0005-0000-0000-0000CF040000}"/>
    <cellStyle name="0_!!!GO_Grand hk scheduels 2005_KORD Workings to notes to 6-k 2005_v17.3.06" xfId="1817" xr:uid="{00000000-0005-0000-0000-0000D0040000}"/>
    <cellStyle name="0_!!!GO_Grand hk scheduels 2005_NOTES TO CASH" xfId="1818" xr:uid="{00000000-0005-0000-0000-0000D1040000}"/>
    <cellStyle name="0_!!!GO_Grand hk scheduels 2005_October 2005BLANK(PLAYWELL)Workings to notes to 6-k Sept05" xfId="1819" xr:uid="{00000000-0005-0000-0000-0000D2040000}"/>
    <cellStyle name="0_!!!GO_Grand hk scheduels 2005_OPTIONS  RECAPjune10,2005updated" xfId="1820" xr:uid="{00000000-0005-0000-0000-0000D3040000}"/>
    <cellStyle name="0_!!!GO_Grand hk scheduels 2005_PIL RPT movements" xfId="1821" xr:uid="{00000000-0005-0000-0000-0000D4040000}"/>
    <cellStyle name="0_!!!GO_Grand hk scheduels 2005_PLAYWELL Workings to notes to 6-k Dec 05" xfId="1822" xr:uid="{00000000-0005-0000-0000-0000D5040000}"/>
    <cellStyle name="0_!!!GO_Grand hk scheduels 2005_PLAYWELL Workings to notes to 6-k June04" xfId="1823" xr:uid="{00000000-0005-0000-0000-0000D6040000}"/>
    <cellStyle name="0_!!!GO_Grand hk scheduels 2005_Sheet2" xfId="1824" xr:uid="{00000000-0005-0000-0000-0000D7040000}"/>
    <cellStyle name="0_!!!GO_Grand hk scheduels 2005_Sheet3" xfId="1825" xr:uid="{00000000-0005-0000-0000-0000D8040000}"/>
    <cellStyle name="0_!!!GO_Grand hk scheduels 2005_Sheet4" xfId="1826" xr:uid="{00000000-0005-0000-0000-0000D9040000}"/>
    <cellStyle name="0_!!!GO_Grand hk scheduels 2005_Top Lines (AC)" xfId="1827" xr:uid="{00000000-0005-0000-0000-0000DA040000}"/>
    <cellStyle name="0_!!!GO_Grand hk scheduels 2005_V10Workings to notes to 6-k June05 (2)" xfId="1828" xr:uid="{00000000-0005-0000-0000-0000DB040000}"/>
    <cellStyle name="0_!!!GO_Grand hk scheduels 2005_V11workings to notes to 2004 inc HY and KD1" xfId="1829" xr:uid="{00000000-0005-0000-0000-0000DC040000}"/>
    <cellStyle name="0_!!!GO_Grand hk scheduels 2005_V18 Dec 2005 TC" xfId="1830" xr:uid="{00000000-0005-0000-0000-0000DD040000}"/>
    <cellStyle name="0_!!!GO_Grand hk scheduels 2005_V29workings to notes to 2004 inc HY and KD1(1)" xfId="1831" xr:uid="{00000000-0005-0000-0000-0000DE040000}"/>
    <cellStyle name="0_!!!GO_Grand hk scheduels 2005_V2BLANK(PLAYWELL)Workings to notes to 6-k June05" xfId="1832" xr:uid="{00000000-0005-0000-0000-0000DF040000}"/>
    <cellStyle name="0_!!!GO_Grand hk scheduels 2005_V2FSep2005 tc" xfId="1833" xr:uid="{00000000-0005-0000-0000-0000E0040000}"/>
    <cellStyle name="0_!!!GO_Grand hk scheduels 2005_V2October 19 05Workings to notes to 6-k Sept05" xfId="1834" xr:uid="{00000000-0005-0000-0000-0000E1040000}"/>
    <cellStyle name="0_!!!GO_Grand hk scheduels 2005_V30workings to notes to 2004 inc HY and KD1(1)" xfId="1835" xr:uid="{00000000-0005-0000-0000-0000E2040000}"/>
    <cellStyle name="0_!!!GO_Grand hk scheduels 2005_V31(2) Dec 2005 (2)" xfId="1836" xr:uid="{00000000-0005-0000-0000-0000E3040000}"/>
    <cellStyle name="0_!!!GO_Grand hk scheduels 2005_V32(2) (2004)" xfId="1837" xr:uid="{00000000-0005-0000-0000-0000E4040000}"/>
    <cellStyle name="0_!!!GO_Grand hk scheduels 2005_V32(3) (2004)" xfId="1838" xr:uid="{00000000-0005-0000-0000-0000E5040000}"/>
    <cellStyle name="0_!!!GO_Grand hk scheduels 2005_V32(7) (2004)fixed as per DTT" xfId="1839" xr:uid="{00000000-0005-0000-0000-0000E6040000}"/>
    <cellStyle name="0_!!!GO_Grand hk scheduels 2005_V32(9) DTT(2004)as per DTTNov 1306" xfId="1840" xr:uid="{00000000-0005-0000-0000-0000E7040000}"/>
    <cellStyle name="0_!!!GO_Grand hk scheduels 2005_V39(2005) " xfId="1841" xr:uid="{00000000-0005-0000-0000-0000E8040000}"/>
    <cellStyle name="0_!!!GO_Grand hk scheduels 2005_V8TCWorkings to notes to 6-k June05" xfId="1842" xr:uid="{00000000-0005-0000-0000-0000E9040000}"/>
    <cellStyle name="0_!!!GO_Grand hk scheduels 2005_Workings to notes to 6-k FY2005-Consol-V3" xfId="1843" xr:uid="{00000000-0005-0000-0000-0000EA040000}"/>
    <cellStyle name="0_!!!GO_Grand hk scheduels 2005_Workings to notes to 6-k FY2005-Consol-V37" xfId="1844" xr:uid="{00000000-0005-0000-0000-0000EB040000}"/>
    <cellStyle name="0_!!!GO_Grand hk scheduels 2005_Workings to notes to 6-k FY2005-Consol-V8" xfId="1845" xr:uid="{00000000-0005-0000-0000-0000EC040000}"/>
    <cellStyle name="0_!!!GO_Grand hk scheduels 2005_Workings to notes to 6-k June05v3" xfId="1846" xr:uid="{00000000-0005-0000-0000-0000ED040000}"/>
    <cellStyle name="0_!!!GO_Grand hk scheduels 2005_Workings to notes to 6-k Mar05v13TC" xfId="1847" xr:uid="{00000000-0005-0000-0000-0000EE040000}"/>
    <cellStyle name="0_!!!GO_Grand hk scheduels 2005_Workings to notes to 6-k Mar05v17" xfId="1848" xr:uid="{00000000-0005-0000-0000-0000EF040000}"/>
    <cellStyle name="0_!!!GO_Grand hk scheduelsjune 2005" xfId="1849" xr:uid="{00000000-0005-0000-0000-0000F0040000}"/>
    <cellStyle name="0_!!!GO_Grand hk scheduelsjune 2005_Book1" xfId="1850" xr:uid="{00000000-0005-0000-0000-0000F1040000}"/>
    <cellStyle name="0_!!!GO_Grand hk scheduelsjune 2005_Consolidation_2006_Summary (v2) (1)" xfId="1851" xr:uid="{00000000-0005-0000-0000-0000F2040000}"/>
    <cellStyle name="0_!!!GO_Grand hk scheduelsjune 2005_Consolidation_2006_Summary (v3)" xfId="1852" xr:uid="{00000000-0005-0000-0000-0000F3040000}"/>
    <cellStyle name="0_!!!GO_Grand hk scheduelsjune 2005_Consolidation_2006_Summary audit" xfId="1853" xr:uid="{00000000-0005-0000-0000-0000F4040000}"/>
    <cellStyle name="0_!!!GO_Grand hk scheduelsjune 2005_Consolidation_2006_Summary auditBS &amp; PL" xfId="1854" xr:uid="{00000000-0005-0000-0000-0000F5040000}"/>
    <cellStyle name="0_!!!GO_Grand hk scheduelsjune 2005_DeferredTaxLiabilitiesOnFixedAssets" xfId="1855" xr:uid="{00000000-0005-0000-0000-0000F6040000}"/>
    <cellStyle name="0_!!!GO_Grand hk scheduelsjune 2005_Management accounts 2006(UPDATED)" xfId="1856" xr:uid="{00000000-0005-0000-0000-0000F7040000}"/>
    <cellStyle name="0_!!!GO_Grand hk scheduelsjune 2005_V10Workings to notes to 6-k June05 (2)" xfId="1857" xr:uid="{00000000-0005-0000-0000-0000F8040000}"/>
    <cellStyle name="0_!!!GO_Grand US workings December 2005" xfId="1858" xr:uid="{00000000-0005-0000-0000-0000F9040000}"/>
    <cellStyle name="0_!!!GO_Grand US workings December 2005_Book1" xfId="1859" xr:uid="{00000000-0005-0000-0000-0000FA040000}"/>
    <cellStyle name="0_!!!GO_Grand US workings December 2005_Consolidation_2006_Summary (v2) (1)" xfId="1860" xr:uid="{00000000-0005-0000-0000-0000FB040000}"/>
    <cellStyle name="0_!!!GO_Grand US workings December 2005_Consolidation_2006_Summary (v3)" xfId="1861" xr:uid="{00000000-0005-0000-0000-0000FC040000}"/>
    <cellStyle name="0_!!!GO_Grand US workings December 2005_Consolidation_2006_Summary audit" xfId="1862" xr:uid="{00000000-0005-0000-0000-0000FD040000}"/>
    <cellStyle name="0_!!!GO_Grand US workings December 2005_Consolidation_2006_Summary auditBS &amp; PL" xfId="1863" xr:uid="{00000000-0005-0000-0000-0000FE040000}"/>
    <cellStyle name="0_!!!GO_Grand US workings December 2005_DeferredTaxLiabilitiesOnFixedAssets" xfId="1864" xr:uid="{00000000-0005-0000-0000-0000FF040000}"/>
    <cellStyle name="0_!!!GO_Grand US workings December 2005_Management accounts 2006(UPDATED)" xfId="1865" xr:uid="{00000000-0005-0000-0000-000000050000}"/>
    <cellStyle name="0_!!!GO_Grand US workings June2005" xfId="1866" xr:uid="{00000000-0005-0000-0000-000001050000}"/>
    <cellStyle name="0_!!!GO_Grand US workings June2005_Book1" xfId="1867" xr:uid="{00000000-0005-0000-0000-000002050000}"/>
    <cellStyle name="0_!!!GO_Grand US workings June2005_Consolidation_2006_Summary (v2) (1)" xfId="1868" xr:uid="{00000000-0005-0000-0000-000003050000}"/>
    <cellStyle name="0_!!!GO_Grand US workings June2005_Consolidation_2006_Summary (v3)" xfId="1869" xr:uid="{00000000-0005-0000-0000-000004050000}"/>
    <cellStyle name="0_!!!GO_Grand US workings June2005_Consolidation_2006_Summary audit" xfId="1870" xr:uid="{00000000-0005-0000-0000-000005050000}"/>
    <cellStyle name="0_!!!GO_Grand US workings June2005_Consolidation_2006_Summary auditBS &amp; PL" xfId="1871" xr:uid="{00000000-0005-0000-0000-000006050000}"/>
    <cellStyle name="0_!!!GO_Grand US workings June2005_DeferredTaxLiabilitiesOnFixedAssets" xfId="1872" xr:uid="{00000000-0005-0000-0000-000007050000}"/>
    <cellStyle name="0_!!!GO_Grand US workings June2005_Management accounts 2006(UPDATED)" xfId="1873" xr:uid="{00000000-0005-0000-0000-000008050000}"/>
    <cellStyle name="0_!!!GO_Grand US workings June2005_V10Workings to notes to 6-k June05 (2)" xfId="1874" xr:uid="{00000000-0005-0000-0000-000009050000}"/>
    <cellStyle name="0_!!!GO_GTHK APIC 2004" xfId="1875" xr:uid="{00000000-0005-0000-0000-00000A050000}"/>
    <cellStyle name="0_!!!GO_GTHK APIC 2004_(3)Grand US workings December 2005" xfId="1876" xr:uid="{00000000-0005-0000-0000-00000B050000}"/>
    <cellStyle name="0_!!!GO_GTHK APIC 2004_(3)Grand US workings December 2005_Book1" xfId="1877" xr:uid="{00000000-0005-0000-0000-00000C050000}"/>
    <cellStyle name="0_!!!GO_GTHK APIC 2004_(3)Grand US workings December 2005_Consolidation_2006_Summary (v2) (1)" xfId="1878" xr:uid="{00000000-0005-0000-0000-00000D050000}"/>
    <cellStyle name="0_!!!GO_GTHK APIC 2004_(3)Grand US workings December 2005_Consolidation_2006_Summary (v3)" xfId="1879" xr:uid="{00000000-0005-0000-0000-00000E050000}"/>
    <cellStyle name="0_!!!GO_GTHK APIC 2004_(3)Grand US workings December 2005_Consolidation_2006_Summary audit" xfId="1880" xr:uid="{00000000-0005-0000-0000-00000F050000}"/>
    <cellStyle name="0_!!!GO_GTHK APIC 2004_(3)Grand US workings December 2005_Consolidation_2006_Summary auditBS &amp; PL" xfId="1881" xr:uid="{00000000-0005-0000-0000-000010050000}"/>
    <cellStyle name="0_!!!GO_GTHK APIC 2004_(3)Grand US workings December 2005_DeferredTaxLiabilitiesOnFixedAssets" xfId="1882" xr:uid="{00000000-0005-0000-0000-000011050000}"/>
    <cellStyle name="0_!!!GO_GTHK APIC 2004_(3)Grand US workings December 2005_Management accounts 2006(UPDATED)" xfId="1883" xr:uid="{00000000-0005-0000-0000-000012050000}"/>
    <cellStyle name="0_!!!GO_GTHK APIC 2004_A2PLAYWELLWorkings to notes to 6-k Dec 051" xfId="1884" xr:uid="{00000000-0005-0000-0000-000013050000}"/>
    <cellStyle name="0_!!!GO_GTHK APIC 2004_BLANK(iNT pLAY))(2)Workings to notes to 6-k September051" xfId="1885" xr:uid="{00000000-0005-0000-0000-000014050000}"/>
    <cellStyle name="0_!!!GO_GTHK APIC 2004_BLANK(iNT pLAY))Workings to notes to 6-k June05" xfId="1886" xr:uid="{00000000-0005-0000-0000-000015050000}"/>
    <cellStyle name="0_!!!GO_GTHK APIC 2004_Book1" xfId="1887" xr:uid="{00000000-0005-0000-0000-000016050000}"/>
    <cellStyle name="0_!!!GO_GTHK APIC 2004_cashflow05K01" xfId="1888" xr:uid="{00000000-0005-0000-0000-000017050000}"/>
    <cellStyle name="0_!!!GO_GTHK APIC 2004_consolidation entries 2004" xfId="1889" xr:uid="{00000000-0005-0000-0000-000018050000}"/>
    <cellStyle name="0_!!!GO_GTHK APIC 2004_consolidation entries 2004_Consolidation_2006_Summary (v2) (1)" xfId="1890" xr:uid="{00000000-0005-0000-0000-000019050000}"/>
    <cellStyle name="0_!!!GO_GTHK APIC 2004_consolidation entries 2004_Consolidation_2006_Summary (v3)" xfId="1891" xr:uid="{00000000-0005-0000-0000-00001A050000}"/>
    <cellStyle name="0_!!!GO_GTHK APIC 2004_consolidation entries 2004_Consolidation_2006_Summary audit" xfId="1892" xr:uid="{00000000-0005-0000-0000-00001B050000}"/>
    <cellStyle name="0_!!!GO_GTHK APIC 2004_consolidation entries 2004_Consolidation_2006_Summary auditBS &amp; PL" xfId="1893" xr:uid="{00000000-0005-0000-0000-00001C050000}"/>
    <cellStyle name="0_!!!GO_GTHK APIC 2004_consolidation entries 2004_Management accounts 2006(UPDATED)" xfId="1894" xr:uid="{00000000-0005-0000-0000-00001D050000}"/>
    <cellStyle name="0_!!!GO_GTHK APIC 2004_corporate tax entry allocation" xfId="1895" xr:uid="{00000000-0005-0000-0000-00001E050000}"/>
    <cellStyle name="0_!!!GO_GTHK APIC 2004_DeferredTaxLiabilitiesOnFixedAssets" xfId="1896" xr:uid="{00000000-0005-0000-0000-00001F050000}"/>
    <cellStyle name="0_!!!GO_GTHK APIC 2004_Detailed Conso july 2005" xfId="1897" xr:uid="{00000000-0005-0000-0000-000020050000}"/>
    <cellStyle name="0_!!!GO_GTHK APIC 2004_Detailed Conso july 2005_Book1" xfId="1898" xr:uid="{00000000-0005-0000-0000-000021050000}"/>
    <cellStyle name="0_!!!GO_GTHK APIC 2004_Detailed Conso july 2005_Consolidation_2006_Summary (v2) (1)" xfId="1899" xr:uid="{00000000-0005-0000-0000-000022050000}"/>
    <cellStyle name="0_!!!GO_GTHK APIC 2004_Detailed Conso july 2005_Consolidation_2006_Summary (v3)" xfId="1900" xr:uid="{00000000-0005-0000-0000-000023050000}"/>
    <cellStyle name="0_!!!GO_GTHK APIC 2004_Detailed Conso july 2005_Consolidation_2006_Summary audit" xfId="1901" xr:uid="{00000000-0005-0000-0000-000024050000}"/>
    <cellStyle name="0_!!!GO_GTHK APIC 2004_Detailed Conso july 2005_Consolidation_2006_Summary auditBS &amp; PL" xfId="1902" xr:uid="{00000000-0005-0000-0000-000025050000}"/>
    <cellStyle name="0_!!!GO_GTHK APIC 2004_Detailed Conso july 2005_DeferredTaxLiabilitiesOnFixedAssets" xfId="1903" xr:uid="{00000000-0005-0000-0000-000026050000}"/>
    <cellStyle name="0_!!!GO_GTHK APIC 2004_Detailed Conso july 2005_Management accounts 2006(UPDATED)" xfId="1904" xr:uid="{00000000-0005-0000-0000-000027050000}"/>
    <cellStyle name="0_!!!GO_GTHK APIC 2004_FA2005schedule" xfId="1905" xr:uid="{00000000-0005-0000-0000-000028050000}"/>
    <cellStyle name="0_!!!GO_GTHK APIC 2004_Grand US workings December 2005" xfId="1906" xr:uid="{00000000-0005-0000-0000-000029050000}"/>
    <cellStyle name="0_!!!GO_GTHK APIC 2004_Grand US workings December 2005_Book1" xfId="1907" xr:uid="{00000000-0005-0000-0000-00002A050000}"/>
    <cellStyle name="0_!!!GO_GTHK APIC 2004_Grand US workings December 2005_Consolidation_2006_Summary (v2) (1)" xfId="1908" xr:uid="{00000000-0005-0000-0000-00002B050000}"/>
    <cellStyle name="0_!!!GO_GTHK APIC 2004_Grand US workings December 2005_Consolidation_2006_Summary (v3)" xfId="1909" xr:uid="{00000000-0005-0000-0000-00002C050000}"/>
    <cellStyle name="0_!!!GO_GTHK APIC 2004_Grand US workings December 2005_Consolidation_2006_Summary audit" xfId="1910" xr:uid="{00000000-0005-0000-0000-00002D050000}"/>
    <cellStyle name="0_!!!GO_GTHK APIC 2004_Grand US workings December 2005_Consolidation_2006_Summary auditBS &amp; PL" xfId="1911" xr:uid="{00000000-0005-0000-0000-00002E050000}"/>
    <cellStyle name="0_!!!GO_GTHK APIC 2004_Grand US workings December 2005_DeferredTaxLiabilitiesOnFixedAssets" xfId="1912" xr:uid="{00000000-0005-0000-0000-00002F050000}"/>
    <cellStyle name="0_!!!GO_GTHK APIC 2004_Grand US workings December 2005_Management accounts 2006(UPDATED)" xfId="1913" xr:uid="{00000000-0005-0000-0000-000030050000}"/>
    <cellStyle name="0_!!!GO_GTHK APIC 2004_Grand US workings June2005" xfId="1914" xr:uid="{00000000-0005-0000-0000-000031050000}"/>
    <cellStyle name="0_!!!GO_GTHK APIC 2004_Grand US workings June2005_Book1" xfId="1915" xr:uid="{00000000-0005-0000-0000-000032050000}"/>
    <cellStyle name="0_!!!GO_GTHK APIC 2004_Grand US workings June2005_Consolidation_2006_Summary (v2) (1)" xfId="1916" xr:uid="{00000000-0005-0000-0000-000033050000}"/>
    <cellStyle name="0_!!!GO_GTHK APIC 2004_Grand US workings June2005_Consolidation_2006_Summary (v3)" xfId="1917" xr:uid="{00000000-0005-0000-0000-000034050000}"/>
    <cellStyle name="0_!!!GO_GTHK APIC 2004_Grand US workings June2005_Consolidation_2006_Summary audit" xfId="1918" xr:uid="{00000000-0005-0000-0000-000035050000}"/>
    <cellStyle name="0_!!!GO_GTHK APIC 2004_Grand US workings June2005_Consolidation_2006_Summary auditBS &amp; PL" xfId="1919" xr:uid="{00000000-0005-0000-0000-000036050000}"/>
    <cellStyle name="0_!!!GO_GTHK APIC 2004_Grand US workings June2005_DeferredTaxLiabilitiesOnFixedAssets" xfId="1920" xr:uid="{00000000-0005-0000-0000-000037050000}"/>
    <cellStyle name="0_!!!GO_GTHK APIC 2004_Grand US workings June2005_Management accounts 2006(UPDATED)" xfId="1921" xr:uid="{00000000-0005-0000-0000-000038050000}"/>
    <cellStyle name="0_!!!GO_GTHK APIC 2004_Grand US workings June2005_V10Workings to notes to 6-k June05 (2)" xfId="1922" xr:uid="{00000000-0005-0000-0000-000039050000}"/>
    <cellStyle name="0_!!!GO_GTHK APIC 2004_HUAYANGv5(revised by dy)  wORKINGS TO nOITE DEC 3104" xfId="1923" xr:uid="{00000000-0005-0000-0000-00003A050000}"/>
    <cellStyle name="0_!!!GO_GTHK APIC 2004_HUAYANGWorkings to notes to 6-k FY2005-Consol" xfId="1924" xr:uid="{00000000-0005-0000-0000-00003B050000}"/>
    <cellStyle name="0_!!!GO_GTHK APIC 2004_Inventory  AR March 31 2005" xfId="1925" xr:uid="{00000000-0005-0000-0000-00003C050000}"/>
    <cellStyle name="0_!!!GO_GTHK APIC 2004_KD(5) Workings to notes to 6-k 2005_v17.3.06" xfId="1926" xr:uid="{00000000-0005-0000-0000-00003D050000}"/>
    <cellStyle name="0_!!!GO_GTHK APIC 2004_KORD Workings to notes to 6-k 2005_v17.3.06" xfId="1927" xr:uid="{00000000-0005-0000-0000-00003E050000}"/>
    <cellStyle name="0_!!!GO_GTHK APIC 2004_NOTES TO CASH" xfId="1928" xr:uid="{00000000-0005-0000-0000-00003F050000}"/>
    <cellStyle name="0_!!!GO_GTHK APIC 2004_October 2005BLANK(PLAYWELL)Workings to notes to 6-k Sept05" xfId="1929" xr:uid="{00000000-0005-0000-0000-000040050000}"/>
    <cellStyle name="0_!!!GO_GTHK APIC 2004_OPTIONS  RECAPjune10,2005updated" xfId="1930" xr:uid="{00000000-0005-0000-0000-000041050000}"/>
    <cellStyle name="0_!!!GO_GTHK APIC 2004_PIL RPT movements" xfId="1931" xr:uid="{00000000-0005-0000-0000-000042050000}"/>
    <cellStyle name="0_!!!GO_GTHK APIC 2004_PLAYWELL Workings to notes to 6-k Dec 05" xfId="1932" xr:uid="{00000000-0005-0000-0000-000043050000}"/>
    <cellStyle name="0_!!!GO_GTHK APIC 2004_PLAYWELL Workings to notes to 6-k June04" xfId="1933" xr:uid="{00000000-0005-0000-0000-000044050000}"/>
    <cellStyle name="0_!!!GO_GTHK APIC 2004_Sheet2" xfId="1934" xr:uid="{00000000-0005-0000-0000-000045050000}"/>
    <cellStyle name="0_!!!GO_GTHK APIC 2004_Sheet3" xfId="1935" xr:uid="{00000000-0005-0000-0000-000046050000}"/>
    <cellStyle name="0_!!!GO_GTHK APIC 2004_Sheet4" xfId="1936" xr:uid="{00000000-0005-0000-0000-000047050000}"/>
    <cellStyle name="0_!!!GO_GTHK APIC 2004_Top Lines (AC)" xfId="1937" xr:uid="{00000000-0005-0000-0000-000048050000}"/>
    <cellStyle name="0_!!!GO_GTHK APIC 2004_V1 Dec 2005  1" xfId="1938" xr:uid="{00000000-0005-0000-0000-000049050000}"/>
    <cellStyle name="0_!!!GO_GTHK APIC 2004_V1 July05 " xfId="1939" xr:uid="{00000000-0005-0000-0000-00004A050000}"/>
    <cellStyle name="0_!!!GO_GTHK APIC 2004_V10Workings to notes to 6-k June05 (2)" xfId="1940" xr:uid="{00000000-0005-0000-0000-00004B050000}"/>
    <cellStyle name="0_!!!GO_GTHK APIC 2004_V11workings to notes to 2004 inc HY and KD1" xfId="1941" xr:uid="{00000000-0005-0000-0000-00004C050000}"/>
    <cellStyle name="0_!!!GO_GTHK APIC 2004_V11workings to notes to 2004 inc HY and KD1_Book1" xfId="1942" xr:uid="{00000000-0005-0000-0000-00004D050000}"/>
    <cellStyle name="0_!!!GO_GTHK APIC 2004_V11workings to notes to 2004 inc HY and KD1_Consolidation_2006_Summary (v2) (1)" xfId="1943" xr:uid="{00000000-0005-0000-0000-00004E050000}"/>
    <cellStyle name="0_!!!GO_GTHK APIC 2004_V11workings to notes to 2004 inc HY and KD1_Consolidation_2006_Summary (v3)" xfId="1944" xr:uid="{00000000-0005-0000-0000-00004F050000}"/>
    <cellStyle name="0_!!!GO_GTHK APIC 2004_V11workings to notes to 2004 inc HY and KD1_Consolidation_2006_Summary audit" xfId="1945" xr:uid="{00000000-0005-0000-0000-000050050000}"/>
    <cellStyle name="0_!!!GO_GTHK APIC 2004_V11workings to notes to 2004 inc HY and KD1_Consolidation_2006_Summary auditBS &amp; PL" xfId="1946" xr:uid="{00000000-0005-0000-0000-000051050000}"/>
    <cellStyle name="0_!!!GO_GTHK APIC 2004_V11workings to notes to 2004 inc HY and KD1_DeferredTaxLiabilitiesOnFixedAssets" xfId="1947" xr:uid="{00000000-0005-0000-0000-000052050000}"/>
    <cellStyle name="0_!!!GO_GTHK APIC 2004_V11workings to notes to 2004 inc HY and KD1_Management accounts 2006(UPDATED)" xfId="1948" xr:uid="{00000000-0005-0000-0000-000053050000}"/>
    <cellStyle name="0_!!!GO_GTHK APIC 2004_V14 Dec 2005  1" xfId="1949" xr:uid="{00000000-0005-0000-0000-000054050000}"/>
    <cellStyle name="0_!!!GO_GTHK APIC 2004_V18 Dec 2005 TC" xfId="1950" xr:uid="{00000000-0005-0000-0000-000055050000}"/>
    <cellStyle name="0_!!!GO_GTHK APIC 2004_V29workings to notes to 2004 inc HY and KD1(1)" xfId="1951" xr:uid="{00000000-0005-0000-0000-000056050000}"/>
    <cellStyle name="0_!!!GO_GTHK APIC 2004_V29workings to notes to 2004 inc HY and KD1(1)_Book1" xfId="1952" xr:uid="{00000000-0005-0000-0000-000057050000}"/>
    <cellStyle name="0_!!!GO_GTHK APIC 2004_V29workings to notes to 2004 inc HY and KD1(1)_Consolidation_2006_Summary (v2) (1)" xfId="1953" xr:uid="{00000000-0005-0000-0000-000058050000}"/>
    <cellStyle name="0_!!!GO_GTHK APIC 2004_V29workings to notes to 2004 inc HY and KD1(1)_Consolidation_2006_Summary (v3)" xfId="1954" xr:uid="{00000000-0005-0000-0000-000059050000}"/>
    <cellStyle name="0_!!!GO_GTHK APIC 2004_V29workings to notes to 2004 inc HY and KD1(1)_Consolidation_2006_Summary audit" xfId="1955" xr:uid="{00000000-0005-0000-0000-00005A050000}"/>
    <cellStyle name="0_!!!GO_GTHK APIC 2004_V29workings to notes to 2004 inc HY and KD1(1)_Consolidation_2006_Summary auditBS &amp; PL" xfId="1956" xr:uid="{00000000-0005-0000-0000-00005B050000}"/>
    <cellStyle name="0_!!!GO_GTHK APIC 2004_V29workings to notes to 2004 inc HY and KD1(1)_DeferredTaxLiabilitiesOnFixedAssets" xfId="1957" xr:uid="{00000000-0005-0000-0000-00005C050000}"/>
    <cellStyle name="0_!!!GO_GTHK APIC 2004_V29workings to notes to 2004 inc HY and KD1(1)_Management accounts 2006(UPDATED)" xfId="1958" xr:uid="{00000000-0005-0000-0000-00005D050000}"/>
    <cellStyle name="0_!!!GO_GTHK APIC 2004_V2BLANK(PLAYWELL)Workings to notes to 6-k June05" xfId="1959" xr:uid="{00000000-0005-0000-0000-00005E050000}"/>
    <cellStyle name="0_!!!GO_GTHK APIC 2004_V2Dec 2005  1" xfId="1960" xr:uid="{00000000-0005-0000-0000-00005F050000}"/>
    <cellStyle name="0_!!!GO_GTHK APIC 2004_V2DSep2005 " xfId="1961" xr:uid="{00000000-0005-0000-0000-000060050000}"/>
    <cellStyle name="0_!!!GO_GTHK APIC 2004_V2FSep2005 tc" xfId="1962" xr:uid="{00000000-0005-0000-0000-000061050000}"/>
    <cellStyle name="0_!!!GO_GTHK APIC 2004_V2ISep2005 " xfId="1963" xr:uid="{00000000-0005-0000-0000-000062050000}"/>
    <cellStyle name="0_!!!GO_GTHK APIC 2004_V2October 19 05Workings to notes to 6-k Sept05" xfId="1964" xr:uid="{00000000-0005-0000-0000-000063050000}"/>
    <cellStyle name="0_!!!GO_GTHK APIC 2004_V30workings to notes to 2004 inc HY and KD1(1)" xfId="1965" xr:uid="{00000000-0005-0000-0000-000064050000}"/>
    <cellStyle name="0_!!!GO_GTHK APIC 2004_V30workings to notes to 2004 inc HY and KD1(1)_Book1" xfId="1966" xr:uid="{00000000-0005-0000-0000-000065050000}"/>
    <cellStyle name="0_!!!GO_GTHK APIC 2004_V30workings to notes to 2004 inc HY and KD1(1)_Consolidation_2006_Summary (v2) (1)" xfId="1967" xr:uid="{00000000-0005-0000-0000-000066050000}"/>
    <cellStyle name="0_!!!GO_GTHK APIC 2004_V30workings to notes to 2004 inc HY and KD1(1)_Consolidation_2006_Summary (v3)" xfId="1968" xr:uid="{00000000-0005-0000-0000-000067050000}"/>
    <cellStyle name="0_!!!GO_GTHK APIC 2004_V30workings to notes to 2004 inc HY and KD1(1)_Consolidation_2006_Summary audit" xfId="1969" xr:uid="{00000000-0005-0000-0000-000068050000}"/>
    <cellStyle name="0_!!!GO_GTHK APIC 2004_V30workings to notes to 2004 inc HY and KD1(1)_Consolidation_2006_Summary auditBS &amp; PL" xfId="1970" xr:uid="{00000000-0005-0000-0000-000069050000}"/>
    <cellStyle name="0_!!!GO_GTHK APIC 2004_V30workings to notes to 2004 inc HY and KD1(1)_DeferredTaxLiabilitiesOnFixedAssets" xfId="1971" xr:uid="{00000000-0005-0000-0000-00006A050000}"/>
    <cellStyle name="0_!!!GO_GTHK APIC 2004_V30workings to notes to 2004 inc HY and KD1(1)_Management accounts 2006(UPDATED)" xfId="1972" xr:uid="{00000000-0005-0000-0000-00006B050000}"/>
    <cellStyle name="0_!!!GO_GTHK APIC 2004_V31 Dec 2005 " xfId="1973" xr:uid="{00000000-0005-0000-0000-00006C050000}"/>
    <cellStyle name="0_!!!GO_GTHK APIC 2004_V31(2) Dec 2005 (2)" xfId="1974" xr:uid="{00000000-0005-0000-0000-00006D050000}"/>
    <cellStyle name="0_!!!GO_GTHK APIC 2004_V32(2) (2004)" xfId="1975" xr:uid="{00000000-0005-0000-0000-00006E050000}"/>
    <cellStyle name="0_!!!GO_GTHK APIC 2004_V32(2) (2004)_Consolidation_2006_Summary (v2) (1)" xfId="1976" xr:uid="{00000000-0005-0000-0000-00006F050000}"/>
    <cellStyle name="0_!!!GO_GTHK APIC 2004_V32(2) (2004)_Consolidation_2006_Summary (v3)" xfId="1977" xr:uid="{00000000-0005-0000-0000-000070050000}"/>
    <cellStyle name="0_!!!GO_GTHK APIC 2004_V32(2) (2004)_Consolidation_2006_Summary audit" xfId="1978" xr:uid="{00000000-0005-0000-0000-000071050000}"/>
    <cellStyle name="0_!!!GO_GTHK APIC 2004_V32(2) (2004)_Consolidation_2006_Summary auditBS &amp; PL" xfId="1979" xr:uid="{00000000-0005-0000-0000-000072050000}"/>
    <cellStyle name="0_!!!GO_GTHK APIC 2004_V32(2) (2004)_Management accounts 2006(UPDATED)" xfId="1980" xr:uid="{00000000-0005-0000-0000-000073050000}"/>
    <cellStyle name="0_!!!GO_GTHK APIC 2004_V32(3) (2004)" xfId="1981" xr:uid="{00000000-0005-0000-0000-000074050000}"/>
    <cellStyle name="0_!!!GO_GTHK APIC 2004_V32(3) (2004)_Consolidation_2006_Summary (v2) (1)" xfId="1982" xr:uid="{00000000-0005-0000-0000-000075050000}"/>
    <cellStyle name="0_!!!GO_GTHK APIC 2004_V32(3) (2004)_Consolidation_2006_Summary (v3)" xfId="1983" xr:uid="{00000000-0005-0000-0000-000076050000}"/>
    <cellStyle name="0_!!!GO_GTHK APIC 2004_V32(3) (2004)_Consolidation_2006_Summary audit" xfId="1984" xr:uid="{00000000-0005-0000-0000-000077050000}"/>
    <cellStyle name="0_!!!GO_GTHK APIC 2004_V32(3) (2004)_Consolidation_2006_Summary auditBS &amp; PL" xfId="1985" xr:uid="{00000000-0005-0000-0000-000078050000}"/>
    <cellStyle name="0_!!!GO_GTHK APIC 2004_V32(3) (2004)_Management accounts 2006(UPDATED)" xfId="1986" xr:uid="{00000000-0005-0000-0000-000079050000}"/>
    <cellStyle name="0_!!!GO_GTHK APIC 2004_V32(7) (2004)fixed as per DTT" xfId="1987" xr:uid="{00000000-0005-0000-0000-00007A050000}"/>
    <cellStyle name="0_!!!GO_GTHK APIC 2004_V32(7) (2004)fixed as per DTT_Consolidation_2006_Summary (v2) (1)" xfId="1988" xr:uid="{00000000-0005-0000-0000-00007B050000}"/>
    <cellStyle name="0_!!!GO_GTHK APIC 2004_V32(7) (2004)fixed as per DTT_Consolidation_2006_Summary (v3)" xfId="1989" xr:uid="{00000000-0005-0000-0000-00007C050000}"/>
    <cellStyle name="0_!!!GO_GTHK APIC 2004_V32(7) (2004)fixed as per DTT_Consolidation_2006_Summary audit" xfId="1990" xr:uid="{00000000-0005-0000-0000-00007D050000}"/>
    <cellStyle name="0_!!!GO_GTHK APIC 2004_V32(7) (2004)fixed as per DTT_Consolidation_2006_Summary auditBS &amp; PL" xfId="1991" xr:uid="{00000000-0005-0000-0000-00007E050000}"/>
    <cellStyle name="0_!!!GO_GTHK APIC 2004_V32(7) (2004)fixed as per DTT_Management accounts 2006(UPDATED)" xfId="1992" xr:uid="{00000000-0005-0000-0000-00007F050000}"/>
    <cellStyle name="0_!!!GO_GTHK APIC 2004_V32(9) DTT(2004)as per DTTNov 1306" xfId="1993" xr:uid="{00000000-0005-0000-0000-000080050000}"/>
    <cellStyle name="0_!!!GO_GTHK APIC 2004_V32(9) DTT(2004)as per DTTNov 1306_Consolidation_2006_Summary (v2) (1)" xfId="1994" xr:uid="{00000000-0005-0000-0000-000081050000}"/>
    <cellStyle name="0_!!!GO_GTHK APIC 2004_V32(9) DTT(2004)as per DTTNov 1306_Consolidation_2006_Summary (v3)" xfId="1995" xr:uid="{00000000-0005-0000-0000-000082050000}"/>
    <cellStyle name="0_!!!GO_GTHK APIC 2004_V32(9) DTT(2004)as per DTTNov 1306_Consolidation_2006_Summary audit" xfId="1996" xr:uid="{00000000-0005-0000-0000-000083050000}"/>
    <cellStyle name="0_!!!GO_GTHK APIC 2004_V32(9) DTT(2004)as per DTTNov 1306_Consolidation_2006_Summary auditBS &amp; PL" xfId="1997" xr:uid="{00000000-0005-0000-0000-000084050000}"/>
    <cellStyle name="0_!!!GO_GTHK APIC 2004_V32(9) DTT(2004)as per DTTNov 1306_Management accounts 2006(UPDATED)" xfId="1998" xr:uid="{00000000-0005-0000-0000-000085050000}"/>
    <cellStyle name="0_!!!GO_GTHK APIC 2004_V38(5)(2005) " xfId="1999" xr:uid="{00000000-0005-0000-0000-000086050000}"/>
    <cellStyle name="0_!!!GO_GTHK APIC 2004_V38(8)(2005)fixed as per DTT " xfId="2000" xr:uid="{00000000-0005-0000-0000-000087050000}"/>
    <cellStyle name="0_!!!GO_GTHK APIC 2004_V39(2005) " xfId="2001" xr:uid="{00000000-0005-0000-0000-000088050000}"/>
    <cellStyle name="0_!!!GO_GTHK APIC 2004_v3march1705KORD Workings to notes to 6-k 2004_v17.3.06" xfId="2002" xr:uid="{00000000-0005-0000-0000-000089050000}"/>
    <cellStyle name="0_!!!GO_GTHK APIC 2004_V4Dec 2005  1" xfId="2003" xr:uid="{00000000-0005-0000-0000-00008A050000}"/>
    <cellStyle name="0_!!!GO_GTHK APIC 2004_V8TCWorkings to notes to 6-k June05" xfId="2004" xr:uid="{00000000-0005-0000-0000-00008B050000}"/>
    <cellStyle name="0_!!!GO_GTHK APIC 2004_Workings to notes to 6-k FY2005-Consol-V3" xfId="2005" xr:uid="{00000000-0005-0000-0000-00008C050000}"/>
    <cellStyle name="0_!!!GO_GTHK APIC 2004_Workings to notes to 6-k FY2005-Consol-V37" xfId="2006" xr:uid="{00000000-0005-0000-0000-00008D050000}"/>
    <cellStyle name="0_!!!GO_GTHK APIC 2004_Workings to notes to 6-k FY2005-Consol-V8" xfId="2007" xr:uid="{00000000-0005-0000-0000-00008E050000}"/>
    <cellStyle name="0_!!!GO_GTHK APIC 2004_Workings to notes to 6-k June05v1" xfId="2008" xr:uid="{00000000-0005-0000-0000-00008F050000}"/>
    <cellStyle name="0_!!!GO_GTHK APIC 2004_Workings to notes to 6-k June05v2" xfId="2009" xr:uid="{00000000-0005-0000-0000-000090050000}"/>
    <cellStyle name="0_!!!GO_GTHK APIC 2004_Workings to notes to 6-k June05v3" xfId="2010" xr:uid="{00000000-0005-0000-0000-000091050000}"/>
    <cellStyle name="0_!!!GO_GTHK APIC 2004_Workings to notes to 6-k Mar05v13TC" xfId="2011" xr:uid="{00000000-0005-0000-0000-000092050000}"/>
    <cellStyle name="0_!!!GO_GTHK APIC 2004_Workings to notes to 6-k Mar05v17" xfId="2012" xr:uid="{00000000-0005-0000-0000-000093050000}"/>
    <cellStyle name="0_!!!GO_segment dec 2004 " xfId="2013" xr:uid="{00000000-0005-0000-0000-000094050000}"/>
    <cellStyle name="0_!!!GO_segment dec 2004 _Book1" xfId="2014" xr:uid="{00000000-0005-0000-0000-000095050000}"/>
    <cellStyle name="0_!!!GO_segment dec 2004 _Consolidation_2006_Summary (v2) (1)" xfId="2015" xr:uid="{00000000-0005-0000-0000-000096050000}"/>
    <cellStyle name="0_!!!GO_segment dec 2004 _Consolidation_2006_Summary (v3)" xfId="2016" xr:uid="{00000000-0005-0000-0000-000097050000}"/>
    <cellStyle name="0_!!!GO_segment dec 2004 _Consolidation_2006_Summary audit" xfId="2017" xr:uid="{00000000-0005-0000-0000-000098050000}"/>
    <cellStyle name="0_!!!GO_segment dec 2004 _Consolidation_2006_Summary auditBS &amp; PL" xfId="2018" xr:uid="{00000000-0005-0000-0000-000099050000}"/>
    <cellStyle name="0_!!!GO_segment dec 2004 _DeferredTaxLiabilitiesOnFixedAssets" xfId="2019" xr:uid="{00000000-0005-0000-0000-00009A050000}"/>
    <cellStyle name="0_!!!GO_segment dec 2004 _Management accounts 2006(UPDATED)" xfId="2020" xr:uid="{00000000-0005-0000-0000-00009B050000}"/>
    <cellStyle name="0_!!!GO_V1 Dec 2005  1" xfId="2021" xr:uid="{00000000-0005-0000-0000-00009C050000}"/>
    <cellStyle name="0_!!!GO_V2Dec 2005  1" xfId="2022" xr:uid="{00000000-0005-0000-0000-00009D050000}"/>
    <cellStyle name="0_!!!GO_V2DSep2005 " xfId="2023" xr:uid="{00000000-0005-0000-0000-00009E050000}"/>
    <cellStyle name="0_!!!GO_V2ISep2005 " xfId="2024" xr:uid="{00000000-0005-0000-0000-00009F050000}"/>
    <cellStyle name="0_!!!GO_V4Dec 2005  1" xfId="2025" xr:uid="{00000000-0005-0000-0000-0000A0050000}"/>
    <cellStyle name="0_!!!GO_Workings to notes to 6-k June05v1" xfId="2026" xr:uid="{00000000-0005-0000-0000-0000A1050000}"/>
    <cellStyle name="0_!!!GO_Workings to notes to 6-k June05v2" xfId="2027" xr:uid="{00000000-0005-0000-0000-0000A2050000}"/>
    <cellStyle name="0_!!!GO_Workings to notes to 6-k Mar05v4" xfId="2028" xr:uid="{00000000-0005-0000-0000-0000A3050000}"/>
    <cellStyle name="¼ýÀÚ(R)" xfId="2029" xr:uid="{00000000-0005-0000-0000-0000A4050000}"/>
    <cellStyle name="1" xfId="138" xr:uid="{00000000-0005-0000-0000-0000A5050000}"/>
    <cellStyle name="1 2" xfId="371" xr:uid="{00000000-0005-0000-0000-0000A6050000}"/>
    <cellStyle name="20% - Accent1 2" xfId="2030" xr:uid="{00000000-0005-0000-0000-0000A7050000}"/>
    <cellStyle name="20% - Accent2 2" xfId="2031" xr:uid="{00000000-0005-0000-0000-0000A8050000}"/>
    <cellStyle name="20% - Accent3 2" xfId="2032" xr:uid="{00000000-0005-0000-0000-0000A9050000}"/>
    <cellStyle name="20% - Accent4 2" xfId="2033" xr:uid="{00000000-0005-0000-0000-0000AA050000}"/>
    <cellStyle name="20% - Accent5 2" xfId="2034" xr:uid="{00000000-0005-0000-0000-0000AB050000}"/>
    <cellStyle name="20% - Accent6 2" xfId="2035" xr:uid="{00000000-0005-0000-0000-0000AC050000}"/>
    <cellStyle name="20% - 强调文字颜色 1" xfId="139" xr:uid="{00000000-0005-0000-0000-0000AD050000}"/>
    <cellStyle name="20% - 强调文字颜色 1 2" xfId="435" xr:uid="{00000000-0005-0000-0000-0000AE050000}"/>
    <cellStyle name="20% - 强调文字颜色 1 2 2" xfId="684" xr:uid="{00000000-0005-0000-0000-0000AF050000}"/>
    <cellStyle name="20% - 强调文字颜色 1 2 3" xfId="2036" xr:uid="{00000000-0005-0000-0000-0000B0050000}"/>
    <cellStyle name="20% - 强调文字颜色 1 3" xfId="498" xr:uid="{00000000-0005-0000-0000-0000B1050000}"/>
    <cellStyle name="20% - 强调文字颜色 1 4" xfId="372" xr:uid="{00000000-0005-0000-0000-0000B2050000}"/>
    <cellStyle name="20% - 强调文字颜色 2" xfId="140" xr:uid="{00000000-0005-0000-0000-0000B3050000}"/>
    <cellStyle name="20% - 强调文字颜色 2 2" xfId="436" xr:uid="{00000000-0005-0000-0000-0000B4050000}"/>
    <cellStyle name="20% - 强调文字颜色 2 2 2" xfId="685" xr:uid="{00000000-0005-0000-0000-0000B5050000}"/>
    <cellStyle name="20% - 强调文字颜色 2 2 3" xfId="2037" xr:uid="{00000000-0005-0000-0000-0000B6050000}"/>
    <cellStyle name="20% - 强调文字颜色 2 3" xfId="499" xr:uid="{00000000-0005-0000-0000-0000B7050000}"/>
    <cellStyle name="20% - 强调文字颜色 2 4" xfId="373" xr:uid="{00000000-0005-0000-0000-0000B8050000}"/>
    <cellStyle name="20% - 强调文字颜色 3" xfId="141" xr:uid="{00000000-0005-0000-0000-0000B9050000}"/>
    <cellStyle name="20% - 强调文字颜色 3 2" xfId="437" xr:uid="{00000000-0005-0000-0000-0000BA050000}"/>
    <cellStyle name="20% - 强调文字颜色 3 2 2" xfId="686" xr:uid="{00000000-0005-0000-0000-0000BB050000}"/>
    <cellStyle name="20% - 强调文字颜色 3 2 3" xfId="2038" xr:uid="{00000000-0005-0000-0000-0000BC050000}"/>
    <cellStyle name="20% - 强调文字颜色 3 3" xfId="500" xr:uid="{00000000-0005-0000-0000-0000BD050000}"/>
    <cellStyle name="20% - 强调文字颜色 3 4" xfId="374" xr:uid="{00000000-0005-0000-0000-0000BE050000}"/>
    <cellStyle name="20% - 强调文字颜色 4" xfId="142" xr:uid="{00000000-0005-0000-0000-0000BF050000}"/>
    <cellStyle name="20% - 强调文字颜色 4 2" xfId="438" xr:uid="{00000000-0005-0000-0000-0000C0050000}"/>
    <cellStyle name="20% - 强调文字颜色 4 2 2" xfId="687" xr:uid="{00000000-0005-0000-0000-0000C1050000}"/>
    <cellStyle name="20% - 强调文字颜色 4 2 3" xfId="2039" xr:uid="{00000000-0005-0000-0000-0000C2050000}"/>
    <cellStyle name="20% - 强调文字颜色 4 3" xfId="501" xr:uid="{00000000-0005-0000-0000-0000C3050000}"/>
    <cellStyle name="20% - 强调文字颜色 4 4" xfId="375" xr:uid="{00000000-0005-0000-0000-0000C4050000}"/>
    <cellStyle name="20% - 强调文字颜色 5" xfId="143" xr:uid="{00000000-0005-0000-0000-0000C5050000}"/>
    <cellStyle name="20% - 强调文字颜色 5 2" xfId="439" xr:uid="{00000000-0005-0000-0000-0000C6050000}"/>
    <cellStyle name="20% - 强调文字颜色 5 2 2" xfId="688" xr:uid="{00000000-0005-0000-0000-0000C7050000}"/>
    <cellStyle name="20% - 强调文字颜色 5 2 3" xfId="2040" xr:uid="{00000000-0005-0000-0000-0000C8050000}"/>
    <cellStyle name="20% - 强调文字颜色 5 3" xfId="502" xr:uid="{00000000-0005-0000-0000-0000C9050000}"/>
    <cellStyle name="20% - 强调文字颜色 5 4" xfId="376" xr:uid="{00000000-0005-0000-0000-0000CA050000}"/>
    <cellStyle name="20% - 强调文字颜色 6" xfId="144" xr:uid="{00000000-0005-0000-0000-0000CB050000}"/>
    <cellStyle name="20% - 强调文字颜色 6 2" xfId="440" xr:uid="{00000000-0005-0000-0000-0000CC050000}"/>
    <cellStyle name="20% - 强调文字颜色 6 2 2" xfId="689" xr:uid="{00000000-0005-0000-0000-0000CD050000}"/>
    <cellStyle name="20% - 强调文字颜色 6 2 3" xfId="2041" xr:uid="{00000000-0005-0000-0000-0000CE050000}"/>
    <cellStyle name="20% - 强调文字颜色 6 3" xfId="503" xr:uid="{00000000-0005-0000-0000-0000CF050000}"/>
    <cellStyle name="20% - 强调文字颜色 6 4" xfId="377" xr:uid="{00000000-0005-0000-0000-0000D0050000}"/>
    <cellStyle name="³¯Â¥" xfId="2042" xr:uid="{00000000-0005-0000-0000-0000D1050000}"/>
    <cellStyle name="³£¹æ_Book1" xfId="2043" xr:uid="{00000000-0005-0000-0000-0000D2050000}"/>
    <cellStyle name="³¬¼¶Á´½Ó" xfId="2044" xr:uid="{00000000-0005-0000-0000-0000D3050000}"/>
    <cellStyle name="3232" xfId="145" xr:uid="{00000000-0005-0000-0000-0000D4050000}"/>
    <cellStyle name="32B12" xfId="2045" xr:uid="{00000000-0005-0000-0000-0000D5050000}"/>
    <cellStyle name="3f1?0]_assumption(tj))" xfId="2046" xr:uid="{00000000-0005-0000-0000-0000D6050000}"/>
    <cellStyle name="3f1?assumption(tj)t" xfId="2047" xr:uid="{00000000-0005-0000-0000-0000D7050000}"/>
    <cellStyle name="3f1?p&amp;l(tj)i" xfId="2048" xr:uid="{00000000-0005-0000-0000-0000D8050000}"/>
    <cellStyle name="³f¹ô [0]_audit schedule" xfId="2049" xr:uid="{00000000-0005-0000-0000-0000D9050000}"/>
    <cellStyle name="³f¹ô[0]_pldt" xfId="2050" xr:uid="{00000000-0005-0000-0000-0000DA050000}"/>
    <cellStyle name="³f¹ô_audit schedule" xfId="2051" xr:uid="{00000000-0005-0000-0000-0000DB050000}"/>
    <cellStyle name="3L1a_assumption(tj)" xfId="2052" xr:uid="{00000000-0005-0000-0000-0000DC050000}"/>
    <cellStyle name="40% - Accent1 2" xfId="2053" xr:uid="{00000000-0005-0000-0000-0000DD050000}"/>
    <cellStyle name="40% - Accent2 2" xfId="2054" xr:uid="{00000000-0005-0000-0000-0000DE050000}"/>
    <cellStyle name="40% - Accent3 2" xfId="2055" xr:uid="{00000000-0005-0000-0000-0000DF050000}"/>
    <cellStyle name="40% - Accent4 2" xfId="2056" xr:uid="{00000000-0005-0000-0000-0000E0050000}"/>
    <cellStyle name="40% - Accent5 2" xfId="2057" xr:uid="{00000000-0005-0000-0000-0000E1050000}"/>
    <cellStyle name="40% - Accent6 2" xfId="2058" xr:uid="{00000000-0005-0000-0000-0000E2050000}"/>
    <cellStyle name="40% - 强调文字颜色 1" xfId="146" xr:uid="{00000000-0005-0000-0000-0000E3050000}"/>
    <cellStyle name="40% - 强调文字颜色 1 2" xfId="441" xr:uid="{00000000-0005-0000-0000-0000E4050000}"/>
    <cellStyle name="40% - 强调文字颜色 1 2 2" xfId="690" xr:uid="{00000000-0005-0000-0000-0000E5050000}"/>
    <cellStyle name="40% - 强调文字颜色 1 2 3" xfId="2059" xr:uid="{00000000-0005-0000-0000-0000E6050000}"/>
    <cellStyle name="40% - 强调文字颜色 1 3" xfId="504" xr:uid="{00000000-0005-0000-0000-0000E7050000}"/>
    <cellStyle name="40% - 强调文字颜色 1 4" xfId="378" xr:uid="{00000000-0005-0000-0000-0000E8050000}"/>
    <cellStyle name="40% - 强调文字颜色 2" xfId="147" xr:uid="{00000000-0005-0000-0000-0000E9050000}"/>
    <cellStyle name="40% - 强调文字颜色 2 2" xfId="442" xr:uid="{00000000-0005-0000-0000-0000EA050000}"/>
    <cellStyle name="40% - 强调文字颜色 2 2 2" xfId="691" xr:uid="{00000000-0005-0000-0000-0000EB050000}"/>
    <cellStyle name="40% - 强调文字颜色 2 2 3" xfId="2060" xr:uid="{00000000-0005-0000-0000-0000EC050000}"/>
    <cellStyle name="40% - 强调文字颜色 2 3" xfId="505" xr:uid="{00000000-0005-0000-0000-0000ED050000}"/>
    <cellStyle name="40% - 强调文字颜色 2 4" xfId="379" xr:uid="{00000000-0005-0000-0000-0000EE050000}"/>
    <cellStyle name="40% - 强调文字颜色 3" xfId="148" xr:uid="{00000000-0005-0000-0000-0000EF050000}"/>
    <cellStyle name="40% - 强调文字颜色 3 2" xfId="443" xr:uid="{00000000-0005-0000-0000-0000F0050000}"/>
    <cellStyle name="40% - 强调文字颜色 3 2 2" xfId="692" xr:uid="{00000000-0005-0000-0000-0000F1050000}"/>
    <cellStyle name="40% - 强调文字颜色 3 2 3" xfId="2061" xr:uid="{00000000-0005-0000-0000-0000F2050000}"/>
    <cellStyle name="40% - 强调文字颜色 3 3" xfId="506" xr:uid="{00000000-0005-0000-0000-0000F3050000}"/>
    <cellStyle name="40% - 强调文字颜色 3 4" xfId="380" xr:uid="{00000000-0005-0000-0000-0000F4050000}"/>
    <cellStyle name="40% - 强调文字颜色 4" xfId="149" xr:uid="{00000000-0005-0000-0000-0000F5050000}"/>
    <cellStyle name="40% - 强调文字颜色 4 2" xfId="444" xr:uid="{00000000-0005-0000-0000-0000F6050000}"/>
    <cellStyle name="40% - 强调文字颜色 4 2 2" xfId="693" xr:uid="{00000000-0005-0000-0000-0000F7050000}"/>
    <cellStyle name="40% - 强调文字颜色 4 2 3" xfId="2062" xr:uid="{00000000-0005-0000-0000-0000F8050000}"/>
    <cellStyle name="40% - 强调文字颜色 4 3" xfId="507" xr:uid="{00000000-0005-0000-0000-0000F9050000}"/>
    <cellStyle name="40% - 强调文字颜色 4 4" xfId="381" xr:uid="{00000000-0005-0000-0000-0000FA050000}"/>
    <cellStyle name="40% - 强调文字颜色 5" xfId="150" xr:uid="{00000000-0005-0000-0000-0000FB050000}"/>
    <cellStyle name="40% - 强调文字颜色 5 2" xfId="445" xr:uid="{00000000-0005-0000-0000-0000FC050000}"/>
    <cellStyle name="40% - 强调文字颜色 5 2 2" xfId="694" xr:uid="{00000000-0005-0000-0000-0000FD050000}"/>
    <cellStyle name="40% - 强调文字颜色 5 2 3" xfId="2063" xr:uid="{00000000-0005-0000-0000-0000FE050000}"/>
    <cellStyle name="40% - 强调文字颜色 5 3" xfId="508" xr:uid="{00000000-0005-0000-0000-0000FF050000}"/>
    <cellStyle name="40% - 强调文字颜色 5 4" xfId="382" xr:uid="{00000000-0005-0000-0000-000000060000}"/>
    <cellStyle name="40% - 强调文字颜色 6" xfId="151" xr:uid="{00000000-0005-0000-0000-000001060000}"/>
    <cellStyle name="40% - 强调文字颜色 6 2" xfId="446" xr:uid="{00000000-0005-0000-0000-000002060000}"/>
    <cellStyle name="40% - 强调文字颜色 6 2 2" xfId="695" xr:uid="{00000000-0005-0000-0000-000003060000}"/>
    <cellStyle name="40% - 强调文字颜色 6 2 3" xfId="2064" xr:uid="{00000000-0005-0000-0000-000004060000}"/>
    <cellStyle name="40% - 强调文字颜色 6 3" xfId="509" xr:uid="{00000000-0005-0000-0000-000005060000}"/>
    <cellStyle name="40% - 强调文字颜色 6 4" xfId="383" xr:uid="{00000000-0005-0000-0000-000006060000}"/>
    <cellStyle name="60% - Accent1 2" xfId="2065" xr:uid="{00000000-0005-0000-0000-000007060000}"/>
    <cellStyle name="60% - Accent2 2" xfId="2066" xr:uid="{00000000-0005-0000-0000-000008060000}"/>
    <cellStyle name="60% - Accent3 2" xfId="2067" xr:uid="{00000000-0005-0000-0000-000009060000}"/>
    <cellStyle name="60% - Accent4 2" xfId="2068" xr:uid="{00000000-0005-0000-0000-00000A060000}"/>
    <cellStyle name="60% - Accent5 2" xfId="2069" xr:uid="{00000000-0005-0000-0000-00000B060000}"/>
    <cellStyle name="60% - Accent6 2" xfId="2070" xr:uid="{00000000-0005-0000-0000-00000C060000}"/>
    <cellStyle name="60% - 强调文字颜色 1" xfId="152" xr:uid="{00000000-0005-0000-0000-00000D060000}"/>
    <cellStyle name="60% - 强调文字颜色 1 2" xfId="447" xr:uid="{00000000-0005-0000-0000-00000E060000}"/>
    <cellStyle name="60% - 强调文字颜色 1 2 2" xfId="696" xr:uid="{00000000-0005-0000-0000-00000F060000}"/>
    <cellStyle name="60% - 强调文字颜色 1 2 3" xfId="2071" xr:uid="{00000000-0005-0000-0000-000010060000}"/>
    <cellStyle name="60% - 强调文字颜色 1 3" xfId="510" xr:uid="{00000000-0005-0000-0000-000011060000}"/>
    <cellStyle name="60% - 强调文字颜色 1 4" xfId="384" xr:uid="{00000000-0005-0000-0000-000012060000}"/>
    <cellStyle name="60% - 强调文字颜色 2" xfId="153" xr:uid="{00000000-0005-0000-0000-000013060000}"/>
    <cellStyle name="60% - 强调文字颜色 2 2" xfId="448" xr:uid="{00000000-0005-0000-0000-000014060000}"/>
    <cellStyle name="60% - 强调文字颜色 2 2 2" xfId="697" xr:uid="{00000000-0005-0000-0000-000015060000}"/>
    <cellStyle name="60% - 强调文字颜色 2 2 3" xfId="2072" xr:uid="{00000000-0005-0000-0000-000016060000}"/>
    <cellStyle name="60% - 强调文字颜色 2 3" xfId="511" xr:uid="{00000000-0005-0000-0000-000017060000}"/>
    <cellStyle name="60% - 强调文字颜色 2 4" xfId="385" xr:uid="{00000000-0005-0000-0000-000018060000}"/>
    <cellStyle name="60% - 强调文字颜色 3" xfId="154" xr:uid="{00000000-0005-0000-0000-000019060000}"/>
    <cellStyle name="60% - 强调文字颜色 3 2" xfId="449" xr:uid="{00000000-0005-0000-0000-00001A060000}"/>
    <cellStyle name="60% - 强调文字颜色 3 2 2" xfId="698" xr:uid="{00000000-0005-0000-0000-00001B060000}"/>
    <cellStyle name="60% - 强调文字颜色 3 2 3" xfId="2073" xr:uid="{00000000-0005-0000-0000-00001C060000}"/>
    <cellStyle name="60% - 强调文字颜色 3 3" xfId="512" xr:uid="{00000000-0005-0000-0000-00001D060000}"/>
    <cellStyle name="60% - 强调文字颜色 3 4" xfId="386" xr:uid="{00000000-0005-0000-0000-00001E060000}"/>
    <cellStyle name="60% - 强调文字颜色 4" xfId="155" xr:uid="{00000000-0005-0000-0000-00001F060000}"/>
    <cellStyle name="60% - 强调文字颜色 4 2" xfId="450" xr:uid="{00000000-0005-0000-0000-000020060000}"/>
    <cellStyle name="60% - 强调文字颜色 4 2 2" xfId="699" xr:uid="{00000000-0005-0000-0000-000021060000}"/>
    <cellStyle name="60% - 强调文字颜色 4 2 3" xfId="2074" xr:uid="{00000000-0005-0000-0000-000022060000}"/>
    <cellStyle name="60% - 强调文字颜色 4 3" xfId="513" xr:uid="{00000000-0005-0000-0000-000023060000}"/>
    <cellStyle name="60% - 强调文字颜色 4 4" xfId="387" xr:uid="{00000000-0005-0000-0000-000024060000}"/>
    <cellStyle name="60% - 强调文字颜色 5" xfId="156" xr:uid="{00000000-0005-0000-0000-000025060000}"/>
    <cellStyle name="60% - 强调文字颜色 5 2" xfId="451" xr:uid="{00000000-0005-0000-0000-000026060000}"/>
    <cellStyle name="60% - 强调文字颜色 5 2 2" xfId="700" xr:uid="{00000000-0005-0000-0000-000027060000}"/>
    <cellStyle name="60% - 强调文字颜色 5 2 3" xfId="2075" xr:uid="{00000000-0005-0000-0000-000028060000}"/>
    <cellStyle name="60% - 强调文字颜色 5 3" xfId="514" xr:uid="{00000000-0005-0000-0000-000029060000}"/>
    <cellStyle name="60% - 强调文字颜色 5 4" xfId="388" xr:uid="{00000000-0005-0000-0000-00002A060000}"/>
    <cellStyle name="60% - 强调文字颜色 6" xfId="157" xr:uid="{00000000-0005-0000-0000-00002B060000}"/>
    <cellStyle name="60% - 强调文字颜色 6 2" xfId="452" xr:uid="{00000000-0005-0000-0000-00002C060000}"/>
    <cellStyle name="60% - 强调文字颜色 6 2 2" xfId="701" xr:uid="{00000000-0005-0000-0000-00002D060000}"/>
    <cellStyle name="60% - 强调文字颜色 6 2 3" xfId="2076" xr:uid="{00000000-0005-0000-0000-00002E060000}"/>
    <cellStyle name="60% - 强调文字颜色 6 3" xfId="515" xr:uid="{00000000-0005-0000-0000-00002F060000}"/>
    <cellStyle name="60% - 强调文字颜色 6 4" xfId="389" xr:uid="{00000000-0005-0000-0000-000030060000}"/>
    <cellStyle name="9" xfId="158" xr:uid="{00000000-0005-0000-0000-000031060000}"/>
    <cellStyle name="90" xfId="2077" xr:uid="{00000000-0005-0000-0000-000032060000}"/>
    <cellStyle name="99/12/31" xfId="159" xr:uid="{00000000-0005-0000-0000-000033060000}"/>
    <cellStyle name="99/12/31 2" xfId="390" xr:uid="{00000000-0005-0000-0000-000034060000}"/>
    <cellStyle name="Accent1 2" xfId="2078" xr:uid="{00000000-0005-0000-0000-000035060000}"/>
    <cellStyle name="Accent2 2" xfId="2079" xr:uid="{00000000-0005-0000-0000-000036060000}"/>
    <cellStyle name="Accent3 2" xfId="2080" xr:uid="{00000000-0005-0000-0000-000037060000}"/>
    <cellStyle name="Accent4 2" xfId="2081" xr:uid="{00000000-0005-0000-0000-000038060000}"/>
    <cellStyle name="Accent5 2" xfId="2082" xr:uid="{00000000-0005-0000-0000-000039060000}"/>
    <cellStyle name="Accent6 2" xfId="2083" xr:uid="{00000000-0005-0000-0000-00003A060000}"/>
    <cellStyle name="add" xfId="2084" xr:uid="{00000000-0005-0000-0000-00003B060000}"/>
    <cellStyle name="ÁÈµú»Õ_95" xfId="2085" xr:uid="{00000000-0005-0000-0000-00003C060000}"/>
    <cellStyle name="ÅëÈ­ [0]_(type)ÃÑ°ý" xfId="2086" xr:uid="{00000000-0005-0000-0000-00003D060000}"/>
    <cellStyle name="ÅëÈ­_(type)ÃÑ°ý" xfId="2087" xr:uid="{00000000-0005-0000-0000-00003E060000}"/>
    <cellStyle name="ÆÛ¼¾Æ®" xfId="2088" xr:uid="{00000000-0005-0000-0000-00003F060000}"/>
    <cellStyle name="ÀH«áªº¶W³sµ²" xfId="160" xr:uid="{00000000-0005-0000-0000-000040060000}"/>
    <cellStyle name="ÀH«áªº¶W³sµ² 2" xfId="2089" xr:uid="{00000000-0005-0000-0000-000041060000}"/>
    <cellStyle name="Ärenderubrik" xfId="2090" xr:uid="{00000000-0005-0000-0000-000042060000}"/>
    <cellStyle name="args.style" xfId="161" xr:uid="{00000000-0005-0000-0000-000043060000}"/>
    <cellStyle name="ÄÞ¸¶ [0]_(type)ÃÑ°ý" xfId="2091" xr:uid="{00000000-0005-0000-0000-000044060000}"/>
    <cellStyle name="ÄÞ¸¶_(type)ÃÑ°ý" xfId="2092" xr:uid="{00000000-0005-0000-0000-000045060000}"/>
    <cellStyle name="ÀÚ¸®¼ö" xfId="2093" xr:uid="{00000000-0005-0000-0000-000046060000}"/>
    <cellStyle name="ÀÚ¸®¼ö0" xfId="2094" xr:uid="{00000000-0005-0000-0000-000047060000}"/>
    <cellStyle name="Bad 2" xfId="2095" xr:uid="{00000000-0005-0000-0000-000048060000}"/>
    <cellStyle name="Besuchter Hyperlink" xfId="2096" xr:uid="{00000000-0005-0000-0000-000049060000}"/>
    <cellStyle name="Blankettnamn" xfId="2097" xr:uid="{00000000-0005-0000-0000-00004A060000}"/>
    <cellStyle name="Blankettnamn 2" xfId="2902" xr:uid="{00000000-0005-0000-0000-00004B060000}"/>
    <cellStyle name="Blankettnamn 2 2" xfId="3611" xr:uid="{00000000-0005-0000-0000-00004C060000}"/>
    <cellStyle name="Blankettnamn 2 2 2" xfId="3813" xr:uid="{00000000-0005-0000-0000-00004D060000}"/>
    <cellStyle name="Ç¥ÁØ_(type)ÃÑ°ý" xfId="2098" xr:uid="{00000000-0005-0000-0000-00004E060000}"/>
    <cellStyle name="Ç§·ÖÎ»[0]_06" xfId="2099" xr:uid="{00000000-0005-0000-0000-00004F060000}"/>
    <cellStyle name="Ç§·ÖÎ»_06" xfId="2100" xr:uid="{00000000-0005-0000-0000-000050060000}"/>
    <cellStyle name="Calc Currency (0)" xfId="162" xr:uid="{00000000-0005-0000-0000-000051060000}"/>
    <cellStyle name="Calc Currency (2)" xfId="163" xr:uid="{00000000-0005-0000-0000-000052060000}"/>
    <cellStyle name="Calc Percent (0)" xfId="164" xr:uid="{00000000-0005-0000-0000-000053060000}"/>
    <cellStyle name="Calc Percent (1)" xfId="165" xr:uid="{00000000-0005-0000-0000-000054060000}"/>
    <cellStyle name="Calc Percent (2)" xfId="166" xr:uid="{00000000-0005-0000-0000-000055060000}"/>
    <cellStyle name="Calc Units (0)" xfId="167" xr:uid="{00000000-0005-0000-0000-000056060000}"/>
    <cellStyle name="Calc Units (1)" xfId="168" xr:uid="{00000000-0005-0000-0000-000057060000}"/>
    <cellStyle name="Calc Units (2)" xfId="169" xr:uid="{00000000-0005-0000-0000-000058060000}"/>
    <cellStyle name="Calculation 2" xfId="2101" xr:uid="{00000000-0005-0000-0000-000059060000}"/>
    <cellStyle name="category" xfId="170" xr:uid="{00000000-0005-0000-0000-00005A060000}"/>
    <cellStyle name="Check Cell 2" xfId="2102" xr:uid="{00000000-0005-0000-0000-00005B060000}"/>
    <cellStyle name="ÇÕ»ê" xfId="2103" xr:uid="{00000000-0005-0000-0000-00005C060000}"/>
    <cellStyle name="Col Heads" xfId="171" xr:uid="{00000000-0005-0000-0000-00005D060000}"/>
    <cellStyle name="Col Heads 2" xfId="453" xr:uid="{00000000-0005-0000-0000-00005E060000}"/>
    <cellStyle name="Col Heads 2 2" xfId="702" xr:uid="{00000000-0005-0000-0000-00005F060000}"/>
    <cellStyle name="Col Heads 2 2 2" xfId="3529" xr:uid="{00000000-0005-0000-0000-000060060000}"/>
    <cellStyle name="Col Heads 2 2 3" xfId="3327" xr:uid="{00000000-0005-0000-0000-000061060000}"/>
    <cellStyle name="Col Heads 2 2 3 2" xfId="3807" xr:uid="{00000000-0005-0000-0000-000062060000}"/>
    <cellStyle name="Col Heads 3" xfId="2364" xr:uid="{00000000-0005-0000-0000-000063060000}"/>
    <cellStyle name="Col Heads 3 2" xfId="3633" xr:uid="{00000000-0005-0000-0000-000064060000}"/>
    <cellStyle name="Col Heads 3 3" xfId="3379" xr:uid="{00000000-0005-0000-0000-000065060000}"/>
    <cellStyle name="Col Heads 3 3 2" xfId="3808" xr:uid="{00000000-0005-0000-0000-000066060000}"/>
    <cellStyle name="Col Heads 4" xfId="391" xr:uid="{00000000-0005-0000-0000-000067060000}"/>
    <cellStyle name="Column_Title" xfId="172" xr:uid="{00000000-0005-0000-0000-000068060000}"/>
    <cellStyle name="Comma  - Style1" xfId="174" xr:uid="{00000000-0005-0000-0000-000069060000}"/>
    <cellStyle name="Comma  - Style2" xfId="175" xr:uid="{00000000-0005-0000-0000-00006A060000}"/>
    <cellStyle name="Comma  - Style3" xfId="176" xr:uid="{00000000-0005-0000-0000-00006B060000}"/>
    <cellStyle name="Comma  - Style4" xfId="177" xr:uid="{00000000-0005-0000-0000-00006C060000}"/>
    <cellStyle name="Comma  - Style5" xfId="178" xr:uid="{00000000-0005-0000-0000-00006D060000}"/>
    <cellStyle name="Comma  - Style6" xfId="179" xr:uid="{00000000-0005-0000-0000-00006E060000}"/>
    <cellStyle name="Comma  - Style7" xfId="180" xr:uid="{00000000-0005-0000-0000-00006F060000}"/>
    <cellStyle name="Comma  - Style8" xfId="181" xr:uid="{00000000-0005-0000-0000-000070060000}"/>
    <cellStyle name="Comma [00]" xfId="182" xr:uid="{00000000-0005-0000-0000-000071060000}"/>
    <cellStyle name="Comma [4]" xfId="183" xr:uid="{00000000-0005-0000-0000-000072060000}"/>
    <cellStyle name="Comma 11" xfId="184" xr:uid="{00000000-0005-0000-0000-000073060000}"/>
    <cellStyle name="Comma 11 2" xfId="517" xr:uid="{00000000-0005-0000-0000-000074060000}"/>
    <cellStyle name="Comma 11 2 2" xfId="744" xr:uid="{00000000-0005-0000-0000-000075060000}"/>
    <cellStyle name="Comma 11 2 2 2" xfId="2757" xr:uid="{00000000-0005-0000-0000-000076060000}"/>
    <cellStyle name="Comma 11 2 2 2 2" xfId="3547" xr:uid="{00000000-0005-0000-0000-000077060000}"/>
    <cellStyle name="Comma 11 2 2 3" xfId="3336" xr:uid="{00000000-0005-0000-0000-000078060000}"/>
    <cellStyle name="Comma 11 2 3" xfId="2654" xr:uid="{00000000-0005-0000-0000-000079060000}"/>
    <cellStyle name="Comma 11 2 3 2" xfId="3478" xr:uid="{00000000-0005-0000-0000-00007A060000}"/>
    <cellStyle name="Comma 11 2 4" xfId="3296" xr:uid="{00000000-0005-0000-0000-00007B060000}"/>
    <cellStyle name="Comma 11 3" xfId="666" xr:uid="{00000000-0005-0000-0000-00007C060000}"/>
    <cellStyle name="Comma 11 3 2" xfId="2475" xr:uid="{00000000-0005-0000-0000-00007D060000}"/>
    <cellStyle name="Comma 11 3 2 2" xfId="3069" xr:uid="{00000000-0005-0000-0000-00007E060000}"/>
    <cellStyle name="Comma 11 3 2 2 2" xfId="3706" xr:uid="{00000000-0005-0000-0000-00007F060000}"/>
    <cellStyle name="Comma 11 3 2 3" xfId="3413" xr:uid="{00000000-0005-0000-0000-000080060000}"/>
    <cellStyle name="Comma 11 3 3" xfId="2718" xr:uid="{00000000-0005-0000-0000-000081060000}"/>
    <cellStyle name="Comma 11 3 3 2" xfId="3515" xr:uid="{00000000-0005-0000-0000-000082060000}"/>
    <cellStyle name="Comma 11 3 4" xfId="3321" xr:uid="{00000000-0005-0000-0000-000083060000}"/>
    <cellStyle name="Comma 11 4" xfId="786" xr:uid="{00000000-0005-0000-0000-000084060000}"/>
    <cellStyle name="Comma 11 4 2" xfId="2797" xr:uid="{00000000-0005-0000-0000-000085060000}"/>
    <cellStyle name="Comma 11 4 2 2" xfId="3584" xr:uid="{00000000-0005-0000-0000-000086060000}"/>
    <cellStyle name="Comma 11 4 3" xfId="3358" xr:uid="{00000000-0005-0000-0000-000087060000}"/>
    <cellStyle name="Comma 11 5" xfId="2573" xr:uid="{00000000-0005-0000-0000-000088060000}"/>
    <cellStyle name="Comma 11 5 2" xfId="3443" xr:uid="{00000000-0005-0000-0000-000089060000}"/>
    <cellStyle name="Comma 11 6" xfId="3272" xr:uid="{00000000-0005-0000-0000-00008A060000}"/>
    <cellStyle name="Comma 11 7" xfId="393" xr:uid="{00000000-0005-0000-0000-00008B060000}"/>
    <cellStyle name="Comma 2" xfId="185" xr:uid="{00000000-0005-0000-0000-00008C060000}"/>
    <cellStyle name="Comma 2 2" xfId="583" xr:uid="{00000000-0005-0000-0000-00008D060000}"/>
    <cellStyle name="Comma 2 2 2" xfId="648" xr:uid="{00000000-0005-0000-0000-00008E060000}"/>
    <cellStyle name="Comma 2 2 2 2" xfId="778" xr:uid="{00000000-0005-0000-0000-00008F060000}"/>
    <cellStyle name="Comma 2 2 2 2 2" xfId="2789" xr:uid="{00000000-0005-0000-0000-000090060000}"/>
    <cellStyle name="Comma 2 2 2 2 2 2" xfId="3576" xr:uid="{00000000-0005-0000-0000-000091060000}"/>
    <cellStyle name="Comma 2 2 2 2 3" xfId="3352" xr:uid="{00000000-0005-0000-0000-000092060000}"/>
    <cellStyle name="Comma 2 2 2 3" xfId="2705" xr:uid="{00000000-0005-0000-0000-000093060000}"/>
    <cellStyle name="Comma 2 2 2 3 2" xfId="3504" xr:uid="{00000000-0005-0000-0000-000094060000}"/>
    <cellStyle name="Comma 2 2 2 4" xfId="3313" xr:uid="{00000000-0005-0000-0000-000095060000}"/>
    <cellStyle name="Comma 2 2 3" xfId="2408" xr:uid="{00000000-0005-0000-0000-000096060000}"/>
    <cellStyle name="Comma 2 2 4" xfId="2105" xr:uid="{00000000-0005-0000-0000-000097060000}"/>
    <cellStyle name="Comma 2 2 5" xfId="2529" xr:uid="{00000000-0005-0000-0000-000098060000}"/>
    <cellStyle name="Comma 2 2 5 2" xfId="3117" xr:uid="{00000000-0005-0000-0000-000099060000}"/>
    <cellStyle name="Comma 2 2 5 2 2" xfId="3751" xr:uid="{00000000-0005-0000-0000-00009A060000}"/>
    <cellStyle name="Comma 2 2 5 3" xfId="3440" xr:uid="{00000000-0005-0000-0000-00009B060000}"/>
    <cellStyle name="Comma 2 3" xfId="518" xr:uid="{00000000-0005-0000-0000-00009C060000}"/>
    <cellStyle name="Comma 2 3 2" xfId="745" xr:uid="{00000000-0005-0000-0000-00009D060000}"/>
    <cellStyle name="Comma 2 3 2 2" xfId="2499" xr:uid="{00000000-0005-0000-0000-00009E060000}"/>
    <cellStyle name="Comma 2 3 2 2 2" xfId="3092" xr:uid="{00000000-0005-0000-0000-00009F060000}"/>
    <cellStyle name="Comma 2 3 2 2 2 2" xfId="3727" xr:uid="{00000000-0005-0000-0000-0000A0060000}"/>
    <cellStyle name="Comma 2 3 2 2 3" xfId="3426" xr:uid="{00000000-0005-0000-0000-0000A1060000}"/>
    <cellStyle name="Comma 2 3 2 3" xfId="2758" xr:uid="{00000000-0005-0000-0000-0000A2060000}"/>
    <cellStyle name="Comma 2 3 2 3 2" xfId="3548" xr:uid="{00000000-0005-0000-0000-0000A3060000}"/>
    <cellStyle name="Comma 2 3 2 4" xfId="3337" xr:uid="{00000000-0005-0000-0000-0000A4060000}"/>
    <cellStyle name="Comma 2 3 3" xfId="2104" xr:uid="{00000000-0005-0000-0000-0000A5060000}"/>
    <cellStyle name="Comma 2 3 4" xfId="2655" xr:uid="{00000000-0005-0000-0000-0000A6060000}"/>
    <cellStyle name="Comma 2 3 4 2" xfId="3479" xr:uid="{00000000-0005-0000-0000-0000A7060000}"/>
    <cellStyle name="Comma 2 3 5" xfId="3297" xr:uid="{00000000-0005-0000-0000-0000A8060000}"/>
    <cellStyle name="Comma 2 4" xfId="667" xr:uid="{00000000-0005-0000-0000-0000A9060000}"/>
    <cellStyle name="Comma 2 4 2" xfId="2476" xr:uid="{00000000-0005-0000-0000-0000AA060000}"/>
    <cellStyle name="Comma 2 4 2 2" xfId="3070" xr:uid="{00000000-0005-0000-0000-0000AB060000}"/>
    <cellStyle name="Comma 2 4 2 2 2" xfId="3707" xr:uid="{00000000-0005-0000-0000-0000AC060000}"/>
    <cellStyle name="Comma 2 4 2 3" xfId="3414" xr:uid="{00000000-0005-0000-0000-0000AD060000}"/>
    <cellStyle name="Comma 2 4 3" xfId="2719" xr:uid="{00000000-0005-0000-0000-0000AE060000}"/>
    <cellStyle name="Comma 2 4 3 2" xfId="3516" xr:uid="{00000000-0005-0000-0000-0000AF060000}"/>
    <cellStyle name="Comma 2 4 4" xfId="3322" xr:uid="{00000000-0005-0000-0000-0000B0060000}"/>
    <cellStyle name="Comma 2 5" xfId="2523" xr:uid="{00000000-0005-0000-0000-0000B1060000}"/>
    <cellStyle name="Comma 2 5 2" xfId="3113" xr:uid="{00000000-0005-0000-0000-0000B2060000}"/>
    <cellStyle name="Comma 2 5 2 2" xfId="3747" xr:uid="{00000000-0005-0000-0000-0000B3060000}"/>
    <cellStyle name="Comma 2 5 3" xfId="3436" xr:uid="{00000000-0005-0000-0000-0000B4060000}"/>
    <cellStyle name="Comma 2 6" xfId="2574" xr:uid="{00000000-0005-0000-0000-0000B5060000}"/>
    <cellStyle name="Comma 2 6 2" xfId="3444" xr:uid="{00000000-0005-0000-0000-0000B6060000}"/>
    <cellStyle name="Comma 2 7" xfId="3273" xr:uid="{00000000-0005-0000-0000-0000B7060000}"/>
    <cellStyle name="Comma 2 8" xfId="394" xr:uid="{00000000-0005-0000-0000-0000B8060000}"/>
    <cellStyle name="Comma 3" xfId="186" xr:uid="{00000000-0005-0000-0000-0000B9060000}"/>
    <cellStyle name="Comma 3 2" xfId="584" xr:uid="{00000000-0005-0000-0000-0000BA060000}"/>
    <cellStyle name="Comma 3 2 2" xfId="2409" xr:uid="{00000000-0005-0000-0000-0000BB060000}"/>
    <cellStyle name="Comma 3 2 3" xfId="2107" xr:uid="{00000000-0005-0000-0000-0000BC060000}"/>
    <cellStyle name="Comma 3 3" xfId="519" xr:uid="{00000000-0005-0000-0000-0000BD060000}"/>
    <cellStyle name="Comma 3 3 2" xfId="746" xr:uid="{00000000-0005-0000-0000-0000BE060000}"/>
    <cellStyle name="Comma 3 3 2 2" xfId="2500" xr:uid="{00000000-0005-0000-0000-0000BF060000}"/>
    <cellStyle name="Comma 3 3 2 2 2" xfId="3093" xr:uid="{00000000-0005-0000-0000-0000C0060000}"/>
    <cellStyle name="Comma 3 3 2 2 2 2" xfId="3728" xr:uid="{00000000-0005-0000-0000-0000C1060000}"/>
    <cellStyle name="Comma 3 3 2 2 3" xfId="3427" xr:uid="{00000000-0005-0000-0000-0000C2060000}"/>
    <cellStyle name="Comma 3 3 2 3" xfId="2759" xr:uid="{00000000-0005-0000-0000-0000C3060000}"/>
    <cellStyle name="Comma 3 3 2 3 2" xfId="3549" xr:uid="{00000000-0005-0000-0000-0000C4060000}"/>
    <cellStyle name="Comma 3 3 2 4" xfId="3338" xr:uid="{00000000-0005-0000-0000-0000C5060000}"/>
    <cellStyle name="Comma 3 3 3" xfId="2106" xr:uid="{00000000-0005-0000-0000-0000C6060000}"/>
    <cellStyle name="Comma 3 3 4" xfId="2656" xr:uid="{00000000-0005-0000-0000-0000C7060000}"/>
    <cellStyle name="Comma 3 3 4 2" xfId="3480" xr:uid="{00000000-0005-0000-0000-0000C8060000}"/>
    <cellStyle name="Comma 3 3 5" xfId="3298" xr:uid="{00000000-0005-0000-0000-0000C9060000}"/>
    <cellStyle name="Comma 3 4" xfId="668" xr:uid="{00000000-0005-0000-0000-0000CA060000}"/>
    <cellStyle name="Comma 3 4 2" xfId="2477" xr:uid="{00000000-0005-0000-0000-0000CB060000}"/>
    <cellStyle name="Comma 3 4 2 2" xfId="3071" xr:uid="{00000000-0005-0000-0000-0000CC060000}"/>
    <cellStyle name="Comma 3 4 2 2 2" xfId="3708" xr:uid="{00000000-0005-0000-0000-0000CD060000}"/>
    <cellStyle name="Comma 3 4 2 3" xfId="3415" xr:uid="{00000000-0005-0000-0000-0000CE060000}"/>
    <cellStyle name="Comma 3 4 3" xfId="2720" xr:uid="{00000000-0005-0000-0000-0000CF060000}"/>
    <cellStyle name="Comma 3 4 3 2" xfId="3517" xr:uid="{00000000-0005-0000-0000-0000D0060000}"/>
    <cellStyle name="Comma 3 4 4" xfId="3323" xr:uid="{00000000-0005-0000-0000-0000D1060000}"/>
    <cellStyle name="Comma 3 5" xfId="2575" xr:uid="{00000000-0005-0000-0000-0000D2060000}"/>
    <cellStyle name="Comma 3 5 2" xfId="3445" xr:uid="{00000000-0005-0000-0000-0000D3060000}"/>
    <cellStyle name="Comma 3 6" xfId="3274" xr:uid="{00000000-0005-0000-0000-0000D4060000}"/>
    <cellStyle name="Comma 3 7" xfId="395" xr:uid="{00000000-0005-0000-0000-0000D5060000}"/>
    <cellStyle name="Comma 4" xfId="811" xr:uid="{00000000-0005-0000-0000-0000D6060000}"/>
    <cellStyle name="Comma 5" xfId="810" xr:uid="{00000000-0005-0000-0000-0000D7060000}"/>
    <cellStyle name="Comma 5 2" xfId="2814" xr:uid="{00000000-0005-0000-0000-0000D8060000}"/>
    <cellStyle name="Comma 5 2 2" xfId="3597" xr:uid="{00000000-0005-0000-0000-0000D9060000}"/>
    <cellStyle name="Comma 5 3" xfId="3364" xr:uid="{00000000-0005-0000-0000-0000DA060000}"/>
    <cellStyle name="Comma 6" xfId="173" xr:uid="{00000000-0005-0000-0000-0000DB060000}"/>
    <cellStyle name="Comma 7" xfId="3755" xr:uid="{00000000-0005-0000-0000-0000DC060000}"/>
    <cellStyle name="comma zerodec" xfId="187" xr:uid="{00000000-0005-0000-0000-0000DD060000}"/>
    <cellStyle name="Comma,0" xfId="188" xr:uid="{00000000-0005-0000-0000-0000DE060000}"/>
    <cellStyle name="Comma,1" xfId="189" xr:uid="{00000000-0005-0000-0000-0000DF060000}"/>
    <cellStyle name="Comma,2" xfId="190" xr:uid="{00000000-0005-0000-0000-0000E0060000}"/>
    <cellStyle name="Comma0" xfId="191" xr:uid="{00000000-0005-0000-0000-0000E1060000}"/>
    <cellStyle name="Comma0 2" xfId="2108" xr:uid="{00000000-0005-0000-0000-0000E2060000}"/>
    <cellStyle name="comma-d" xfId="192" xr:uid="{00000000-0005-0000-0000-0000E3060000}"/>
    <cellStyle name="COMPS" xfId="2109" xr:uid="{00000000-0005-0000-0000-0000E4060000}"/>
    <cellStyle name="COMPS 2" xfId="2449" xr:uid="{00000000-0005-0000-0000-0000E5060000}"/>
    <cellStyle name="COMPS 2 2" xfId="3045" xr:uid="{00000000-0005-0000-0000-0000E6060000}"/>
    <cellStyle name="COMPS 2 2 2" xfId="3681" xr:uid="{00000000-0005-0000-0000-0000E7060000}"/>
    <cellStyle name="COMPS 2 3" xfId="2624" xr:uid="{00000000-0005-0000-0000-0000E8060000}"/>
    <cellStyle name="COMPS 2 4" xfId="2736" xr:uid="{00000000-0005-0000-0000-0000E9060000}"/>
    <cellStyle name="COMPS 3" xfId="2905" xr:uid="{00000000-0005-0000-0000-0000EA060000}"/>
    <cellStyle name="COMPS 3 2" xfId="3612" xr:uid="{00000000-0005-0000-0000-0000EB060000}"/>
    <cellStyle name="COMPS 4" xfId="2983" xr:uid="{00000000-0005-0000-0000-0000EC060000}"/>
    <cellStyle name="COMPS 5" xfId="2841" xr:uid="{00000000-0005-0000-0000-0000ED060000}"/>
    <cellStyle name="Copied" xfId="193" xr:uid="{00000000-0005-0000-0000-0000EE060000}"/>
    <cellStyle name="Credit" xfId="194" xr:uid="{00000000-0005-0000-0000-0000EF060000}"/>
    <cellStyle name="Curren - Style2" xfId="195" xr:uid="{00000000-0005-0000-0000-0000F0060000}"/>
    <cellStyle name="Currency [00]" xfId="196" xr:uid="{00000000-0005-0000-0000-0000F1060000}"/>
    <cellStyle name="Currency 2" xfId="802" xr:uid="{00000000-0005-0000-0000-0000F2060000}"/>
    <cellStyle name="Currency 2 2" xfId="2110" xr:uid="{00000000-0005-0000-0000-0000F3060000}"/>
    <cellStyle name="Currency 2 3" xfId="2810" xr:uid="{00000000-0005-0000-0000-0000F4060000}"/>
    <cellStyle name="Currency 2 3 2" xfId="3595" xr:uid="{00000000-0005-0000-0000-0000F5060000}"/>
    <cellStyle name="Currency 2 4" xfId="3362" xr:uid="{00000000-0005-0000-0000-0000F6060000}"/>
    <cellStyle name="Currency,0" xfId="197" xr:uid="{00000000-0005-0000-0000-0000F7060000}"/>
    <cellStyle name="Currency,0 2" xfId="520" xr:uid="{00000000-0005-0000-0000-0000F8060000}"/>
    <cellStyle name="Currency,0 2 2" xfId="747" xr:uid="{00000000-0005-0000-0000-0000F9060000}"/>
    <cellStyle name="Currency,0 2 2 2" xfId="2501" xr:uid="{00000000-0005-0000-0000-0000FA060000}"/>
    <cellStyle name="Currency,0 2 2 3" xfId="2760" xr:uid="{00000000-0005-0000-0000-0000FB060000}"/>
    <cellStyle name="Currency,0 2 2 3 2" xfId="3550" xr:uid="{00000000-0005-0000-0000-0000FC060000}"/>
    <cellStyle name="Currency,0 2 2 4" xfId="3339" xr:uid="{00000000-0005-0000-0000-0000FD060000}"/>
    <cellStyle name="Currency,0 2 3" xfId="2391" xr:uid="{00000000-0005-0000-0000-0000FE060000}"/>
    <cellStyle name="Currency,0 2 4" xfId="2657" xr:uid="{00000000-0005-0000-0000-0000FF060000}"/>
    <cellStyle name="Currency,0 2 4 2" xfId="3481" xr:uid="{00000000-0005-0000-0000-000000070000}"/>
    <cellStyle name="Currency,0 2 5" xfId="3299" xr:uid="{00000000-0005-0000-0000-000001070000}"/>
    <cellStyle name="Currency,0 3" xfId="2366" xr:uid="{00000000-0005-0000-0000-000002070000}"/>
    <cellStyle name="Currency,0 3 2" xfId="2478" xr:uid="{00000000-0005-0000-0000-000003070000}"/>
    <cellStyle name="Currency,0 4" xfId="820" xr:uid="{00000000-0005-0000-0000-000004070000}"/>
    <cellStyle name="Currency,2" xfId="198" xr:uid="{00000000-0005-0000-0000-000005070000}"/>
    <cellStyle name="Currency,2 2" xfId="521" xr:uid="{00000000-0005-0000-0000-000006070000}"/>
    <cellStyle name="Currency,2 2 2" xfId="748" xr:uid="{00000000-0005-0000-0000-000007070000}"/>
    <cellStyle name="Currency,2 2 2 2" xfId="2502" xr:uid="{00000000-0005-0000-0000-000008070000}"/>
    <cellStyle name="Currency,2 2 2 3" xfId="2761" xr:uid="{00000000-0005-0000-0000-000009070000}"/>
    <cellStyle name="Currency,2 2 2 3 2" xfId="3551" xr:uid="{00000000-0005-0000-0000-00000A070000}"/>
    <cellStyle name="Currency,2 2 2 4" xfId="3340" xr:uid="{00000000-0005-0000-0000-00000B070000}"/>
    <cellStyle name="Currency,2 2 3" xfId="2392" xr:uid="{00000000-0005-0000-0000-00000C070000}"/>
    <cellStyle name="Currency,2 2 4" xfId="2658" xr:uid="{00000000-0005-0000-0000-00000D070000}"/>
    <cellStyle name="Currency,2 2 4 2" xfId="3482" xr:uid="{00000000-0005-0000-0000-00000E070000}"/>
    <cellStyle name="Currency,2 2 5" xfId="3300" xr:uid="{00000000-0005-0000-0000-00000F070000}"/>
    <cellStyle name="Currency,2 3" xfId="2367" xr:uid="{00000000-0005-0000-0000-000010070000}"/>
    <cellStyle name="Currency,2 3 2" xfId="2479" xr:uid="{00000000-0005-0000-0000-000011070000}"/>
    <cellStyle name="Currency,2 4" xfId="821" xr:uid="{00000000-0005-0000-0000-000012070000}"/>
    <cellStyle name="Currency0" xfId="199" xr:uid="{00000000-0005-0000-0000-000013070000}"/>
    <cellStyle name="Currency0 2" xfId="2111" xr:uid="{00000000-0005-0000-0000-000014070000}"/>
    <cellStyle name="Currency1" xfId="200" xr:uid="{00000000-0005-0000-0000-000015070000}"/>
    <cellStyle name="DATA_ENT" xfId="2112" xr:uid="{00000000-0005-0000-0000-000016070000}"/>
    <cellStyle name="Date" xfId="201" xr:uid="{00000000-0005-0000-0000-000017070000}"/>
    <cellStyle name="Date 2" xfId="2113" xr:uid="{00000000-0005-0000-0000-000018070000}"/>
    <cellStyle name="Date Short" xfId="202" xr:uid="{00000000-0005-0000-0000-000019070000}"/>
    <cellStyle name="Date_capinves" xfId="203" xr:uid="{00000000-0005-0000-0000-00001A070000}"/>
    <cellStyle name="Datum" xfId="2114" xr:uid="{00000000-0005-0000-0000-00001B070000}"/>
    <cellStyle name="Debit" xfId="204" xr:uid="{00000000-0005-0000-0000-00001C070000}"/>
    <cellStyle name="Dezimal [0]_AB_20neu" xfId="2115" xr:uid="{00000000-0005-0000-0000-00001D070000}"/>
    <cellStyle name="Dezimal_AB_20neu" xfId="2116" xr:uid="{00000000-0005-0000-0000-00001E070000}"/>
    <cellStyle name="Dollar (zero dec)" xfId="205" xr:uid="{00000000-0005-0000-0000-00001F070000}"/>
    <cellStyle name="DOWNFOOT" xfId="2117" xr:uid="{00000000-0005-0000-0000-000020070000}"/>
    <cellStyle name="DOWNFOOT 2" xfId="2450" xr:uid="{00000000-0005-0000-0000-000021070000}"/>
    <cellStyle name="DOWNFOOT 2 2" xfId="3046" xr:uid="{00000000-0005-0000-0000-000022070000}"/>
    <cellStyle name="DOWNFOOT 2 2 2" xfId="3682" xr:uid="{00000000-0005-0000-0000-000023070000}"/>
    <cellStyle name="DOWNFOOT 2 3" xfId="3005" xr:uid="{00000000-0005-0000-0000-000024070000}"/>
    <cellStyle name="DOWNFOOT 2 4" xfId="2557" xr:uid="{00000000-0005-0000-0000-000025070000}"/>
    <cellStyle name="DOWNFOOT 3" xfId="2907" xr:uid="{00000000-0005-0000-0000-000026070000}"/>
    <cellStyle name="DOWNFOOT 3 2" xfId="3613" xr:uid="{00000000-0005-0000-0000-000027070000}"/>
    <cellStyle name="DOWNFOOT 4" xfId="2835" xr:uid="{00000000-0005-0000-0000-000028070000}"/>
    <cellStyle name="DOWNFOOT 5" xfId="2840" xr:uid="{00000000-0005-0000-0000-000029070000}"/>
    <cellStyle name="E&amp;Y House" xfId="2118" xr:uid="{00000000-0005-0000-0000-00002A070000}"/>
    <cellStyle name="È­Æó±âÈ£" xfId="2119" xr:uid="{00000000-0005-0000-0000-00002B070000}"/>
    <cellStyle name="È­Æó±âÈ£0" xfId="2120" xr:uid="{00000000-0005-0000-0000-00002C070000}"/>
    <cellStyle name="Enter Currency (0)" xfId="206" xr:uid="{00000000-0005-0000-0000-00002D070000}"/>
    <cellStyle name="Enter Currency (2)" xfId="207" xr:uid="{00000000-0005-0000-0000-00002E070000}"/>
    <cellStyle name="Enter Units (0)" xfId="208" xr:uid="{00000000-0005-0000-0000-00002F070000}"/>
    <cellStyle name="Enter Units (1)" xfId="209" xr:uid="{00000000-0005-0000-0000-000030070000}"/>
    <cellStyle name="Enter Units (2)" xfId="210" xr:uid="{00000000-0005-0000-0000-000031070000}"/>
    <cellStyle name="Entered" xfId="211" xr:uid="{00000000-0005-0000-0000-000032070000}"/>
    <cellStyle name="entry" xfId="212" xr:uid="{00000000-0005-0000-0000-000033070000}"/>
    <cellStyle name="entry box" xfId="213" xr:uid="{00000000-0005-0000-0000-000034070000}"/>
    <cellStyle name="entry box 2" xfId="454" xr:uid="{00000000-0005-0000-0000-000035070000}"/>
    <cellStyle name="entry box 2 2" xfId="703" xr:uid="{00000000-0005-0000-0000-000036070000}"/>
    <cellStyle name="entry box 2 2 2" xfId="2737" xr:uid="{00000000-0005-0000-0000-000037070000}"/>
    <cellStyle name="entry box 2 2 2 2" xfId="3530" xr:uid="{00000000-0005-0000-0000-000038070000}"/>
    <cellStyle name="entry box 2 2 3" xfId="3201" xr:uid="{00000000-0005-0000-0000-000039070000}"/>
    <cellStyle name="entry box 2 2 4" xfId="2931" xr:uid="{00000000-0005-0000-0000-00003A070000}"/>
    <cellStyle name="entry box 2 3" xfId="2379" xr:uid="{00000000-0005-0000-0000-00003B070000}"/>
    <cellStyle name="entry box 2 3 2" xfId="2992" xr:uid="{00000000-0005-0000-0000-00003C070000}"/>
    <cellStyle name="entry box 2 3 2 2" xfId="3641" xr:uid="{00000000-0005-0000-0000-00003D070000}"/>
    <cellStyle name="entry box 2 3 3" xfId="3128" xr:uid="{00000000-0005-0000-0000-00003E070000}"/>
    <cellStyle name="entry box 2 3 4" xfId="2809" xr:uid="{00000000-0005-0000-0000-00003F070000}"/>
    <cellStyle name="entry box 2 4" xfId="2628" xr:uid="{00000000-0005-0000-0000-000040070000}"/>
    <cellStyle name="entry box 2 4 2" xfId="3460" xr:uid="{00000000-0005-0000-0000-000041070000}"/>
    <cellStyle name="entry box 2 5" xfId="2939" xr:uid="{00000000-0005-0000-0000-000042070000}"/>
    <cellStyle name="entry box 2 6" xfId="2671" xr:uid="{00000000-0005-0000-0000-000043070000}"/>
    <cellStyle name="entry box 2 7" xfId="3283" xr:uid="{00000000-0005-0000-0000-000044070000}"/>
    <cellStyle name="entry box 3" xfId="629" xr:uid="{00000000-0005-0000-0000-000045070000}"/>
    <cellStyle name="entry box 3 2" xfId="770" xr:uid="{00000000-0005-0000-0000-000046070000}"/>
    <cellStyle name="entry box 3 2 2" xfId="2512" xr:uid="{00000000-0005-0000-0000-000047070000}"/>
    <cellStyle name="entry box 3 2 2 2" xfId="3104" xr:uid="{00000000-0005-0000-0000-000048070000}"/>
    <cellStyle name="entry box 3 2 2 2 2" xfId="3738" xr:uid="{00000000-0005-0000-0000-000049070000}"/>
    <cellStyle name="entry box 3 2 2 3" xfId="3234" xr:uid="{00000000-0005-0000-0000-00004A070000}"/>
    <cellStyle name="entry box 3 2 2 4" xfId="3240" xr:uid="{00000000-0005-0000-0000-00004B070000}"/>
    <cellStyle name="entry box 3 2 3" xfId="2781" xr:uid="{00000000-0005-0000-0000-00004C070000}"/>
    <cellStyle name="entry box 3 2 3 2" xfId="3568" xr:uid="{00000000-0005-0000-0000-00004D070000}"/>
    <cellStyle name="entry box 3 2 4" xfId="2886" xr:uid="{00000000-0005-0000-0000-00004E070000}"/>
    <cellStyle name="entry box 3 2 5" xfId="2539" xr:uid="{00000000-0005-0000-0000-00004F070000}"/>
    <cellStyle name="entry box 3 3" xfId="2422" xr:uid="{00000000-0005-0000-0000-000050070000}"/>
    <cellStyle name="entry box 3 3 2" xfId="3019" xr:uid="{00000000-0005-0000-0000-000051070000}"/>
    <cellStyle name="entry box 3 3 2 2" xfId="3661" xr:uid="{00000000-0005-0000-0000-000052070000}"/>
    <cellStyle name="entry box 3 3 3" xfId="2734" xr:uid="{00000000-0005-0000-0000-000053070000}"/>
    <cellStyle name="entry box 3 3 4" xfId="2909" xr:uid="{00000000-0005-0000-0000-000054070000}"/>
    <cellStyle name="entry box 3 4" xfId="2694" xr:uid="{00000000-0005-0000-0000-000055070000}"/>
    <cellStyle name="entry box 3 4 2" xfId="3497" xr:uid="{00000000-0005-0000-0000-000056070000}"/>
    <cellStyle name="entry box 3 5" xfId="3165" xr:uid="{00000000-0005-0000-0000-000057070000}"/>
    <cellStyle name="entry box 3 6" xfId="2593" xr:uid="{00000000-0005-0000-0000-000058070000}"/>
    <cellStyle name="entry box 4" xfId="669" xr:uid="{00000000-0005-0000-0000-000059070000}"/>
    <cellStyle name="entry box 4 2" xfId="2721" xr:uid="{00000000-0005-0000-0000-00005A070000}"/>
    <cellStyle name="entry box 4 2 2" xfId="3518" xr:uid="{00000000-0005-0000-0000-00005B070000}"/>
    <cellStyle name="entry box 4 3" xfId="3158" xr:uid="{00000000-0005-0000-0000-00005C070000}"/>
    <cellStyle name="entry box 4 4" xfId="2551" xr:uid="{00000000-0005-0000-0000-00005D070000}"/>
    <cellStyle name="entry box 5" xfId="787" xr:uid="{00000000-0005-0000-0000-00005E070000}"/>
    <cellStyle name="entry box 5 2" xfId="2798" xr:uid="{00000000-0005-0000-0000-00005F070000}"/>
    <cellStyle name="entry box 5 2 2" xfId="3585" xr:uid="{00000000-0005-0000-0000-000060070000}"/>
    <cellStyle name="entry box 5 3" xfId="2855" xr:uid="{00000000-0005-0000-0000-000061070000}"/>
    <cellStyle name="entry box 5 4" xfId="2843" xr:uid="{00000000-0005-0000-0000-000062070000}"/>
    <cellStyle name="entry box 6" xfId="822" xr:uid="{00000000-0005-0000-0000-000063070000}"/>
    <cellStyle name="entry box 6 2" xfId="2820" xr:uid="{00000000-0005-0000-0000-000064070000}"/>
    <cellStyle name="entry box 6 2 2" xfId="3600" xr:uid="{00000000-0005-0000-0000-000065070000}"/>
    <cellStyle name="entry box 6 3" xfId="3125" xr:uid="{00000000-0005-0000-0000-000066070000}"/>
    <cellStyle name="entry box 6 4" xfId="2964" xr:uid="{00000000-0005-0000-0000-000067070000}"/>
    <cellStyle name="entry box 7" xfId="3275" xr:uid="{00000000-0005-0000-0000-000068070000}"/>
    <cellStyle name="Euro" xfId="214" xr:uid="{00000000-0005-0000-0000-000069070000}"/>
    <cellStyle name="Explanatory Text 2" xfId="2121" xr:uid="{00000000-0005-0000-0000-00006A070000}"/>
    <cellStyle name="EY House" xfId="215" xr:uid="{00000000-0005-0000-0000-00006B070000}"/>
    <cellStyle name="EY0dp" xfId="2122" xr:uid="{00000000-0005-0000-0000-00006C070000}"/>
    <cellStyle name="EYtext" xfId="2123" xr:uid="{00000000-0005-0000-0000-00006D070000}"/>
    <cellStyle name="F2" xfId="216" xr:uid="{00000000-0005-0000-0000-00006E070000}"/>
    <cellStyle name="F3" xfId="217" xr:uid="{00000000-0005-0000-0000-00006F070000}"/>
    <cellStyle name="F4" xfId="218" xr:uid="{00000000-0005-0000-0000-000070070000}"/>
    <cellStyle name="F5" xfId="219" xr:uid="{00000000-0005-0000-0000-000071070000}"/>
    <cellStyle name="F6" xfId="220" xr:uid="{00000000-0005-0000-0000-000072070000}"/>
    <cellStyle name="F7" xfId="221" xr:uid="{00000000-0005-0000-0000-000073070000}"/>
    <cellStyle name="F8" xfId="222" xr:uid="{00000000-0005-0000-0000-000074070000}"/>
    <cellStyle name="Fixed" xfId="223" xr:uid="{00000000-0005-0000-0000-000075070000}"/>
    <cellStyle name="Fixed 2" xfId="2124" xr:uid="{00000000-0005-0000-0000-000076070000}"/>
    <cellStyle name="ƒnƒCƒp[ƒŠƒ“ƒN" xfId="2125" xr:uid="{00000000-0005-0000-0000-000077070000}"/>
    <cellStyle name="Följde hyperlänken_TAX PACK" xfId="2126" xr:uid="{00000000-0005-0000-0000-000078070000}"/>
    <cellStyle name="Format Datum (ÅÅ-MM-DD t.mm)" xfId="2127" xr:uid="{00000000-0005-0000-0000-000079070000}"/>
    <cellStyle name="Format Datum (ÅÅ-MM-DD)" xfId="2128" xr:uid="{00000000-0005-0000-0000-00007A070000}"/>
    <cellStyle name="Format Datum (MMM-ÅÅ)" xfId="2129" xr:uid="{00000000-0005-0000-0000-00007B070000}"/>
    <cellStyle name="Format Procent (0%)" xfId="2130" xr:uid="{00000000-0005-0000-0000-00007C070000}"/>
    <cellStyle name="Format Procent (0,0%)" xfId="2131" xr:uid="{00000000-0005-0000-0000-00007D070000}"/>
    <cellStyle name="Format Tal (# ##0)" xfId="2132" xr:uid="{00000000-0005-0000-0000-00007E070000}"/>
    <cellStyle name="Format Tal (# ##0,00)" xfId="2133" xr:uid="{00000000-0005-0000-0000-00007F070000}"/>
    <cellStyle name="Format Tid (t.mm)" xfId="2134" xr:uid="{00000000-0005-0000-0000-000080070000}"/>
    <cellStyle name="Good 2" xfId="2135" xr:uid="{00000000-0005-0000-0000-000081070000}"/>
    <cellStyle name="Grey" xfId="224" xr:uid="{00000000-0005-0000-0000-000082070000}"/>
    <cellStyle name="HEADER" xfId="225" xr:uid="{00000000-0005-0000-0000-000083070000}"/>
    <cellStyle name="Header1" xfId="226" xr:uid="{00000000-0005-0000-0000-000084070000}"/>
    <cellStyle name="Header2" xfId="227" xr:uid="{00000000-0005-0000-0000-000085070000}"/>
    <cellStyle name="Header2 2" xfId="455" xr:uid="{00000000-0005-0000-0000-000086070000}"/>
    <cellStyle name="Header2 2 2" xfId="704" xr:uid="{00000000-0005-0000-0000-000087070000}"/>
    <cellStyle name="Header2 2 2 2" xfId="2485" xr:uid="{00000000-0005-0000-0000-000088070000}"/>
    <cellStyle name="Header2 2 2 2 2" xfId="3078" xr:uid="{00000000-0005-0000-0000-000089070000}"/>
    <cellStyle name="Header2 2 2 2 2 2" xfId="3714" xr:uid="{00000000-0005-0000-0000-00008A070000}"/>
    <cellStyle name="Header2 2 2 2 3" xfId="3220" xr:uid="{00000000-0005-0000-0000-00008B070000}"/>
    <cellStyle name="Header2 2 2 2 3 2" xfId="3803" xr:uid="{00000000-0005-0000-0000-00008C070000}"/>
    <cellStyle name="Header2 2 2 2 4" xfId="2966" xr:uid="{00000000-0005-0000-0000-00008D070000}"/>
    <cellStyle name="Header2 2 2 3" xfId="2738" xr:uid="{00000000-0005-0000-0000-00008E070000}"/>
    <cellStyle name="Header2 2 2 3 2" xfId="3531" xr:uid="{00000000-0005-0000-0000-00008F070000}"/>
    <cellStyle name="Header2 2 2 4" xfId="2950" xr:uid="{00000000-0005-0000-0000-000090070000}"/>
    <cellStyle name="Header2 2 3" xfId="2380" xr:uid="{00000000-0005-0000-0000-000091070000}"/>
    <cellStyle name="Header2 2 3 2" xfId="2993" xr:uid="{00000000-0005-0000-0000-000092070000}"/>
    <cellStyle name="Header2 2 3 2 2" xfId="3642" xr:uid="{00000000-0005-0000-0000-000093070000}"/>
    <cellStyle name="Header2 2 3 3" xfId="2638" xr:uid="{00000000-0005-0000-0000-000094070000}"/>
    <cellStyle name="Header2 2 3 3 2" xfId="3789" xr:uid="{00000000-0005-0000-0000-000095070000}"/>
    <cellStyle name="Header2 2 3 4" xfId="3135" xr:uid="{00000000-0005-0000-0000-000096070000}"/>
    <cellStyle name="Header2 2 4" xfId="2629" xr:uid="{00000000-0005-0000-0000-000097070000}"/>
    <cellStyle name="Header2 2 4 2" xfId="3461" xr:uid="{00000000-0005-0000-0000-000098070000}"/>
    <cellStyle name="Header2 2 5" xfId="2600" xr:uid="{00000000-0005-0000-0000-000099070000}"/>
    <cellStyle name="Header2 2 5 2" xfId="3449" xr:uid="{00000000-0005-0000-0000-00009A070000}"/>
    <cellStyle name="Header2 2 6" xfId="3284" xr:uid="{00000000-0005-0000-0000-00009B070000}"/>
    <cellStyle name="Header2 2 6 2" xfId="3805" xr:uid="{00000000-0005-0000-0000-00009C070000}"/>
    <cellStyle name="Header2 3" xfId="670" xr:uid="{00000000-0005-0000-0000-00009D070000}"/>
    <cellStyle name="Header2 3 2" xfId="2481" xr:uid="{00000000-0005-0000-0000-00009E070000}"/>
    <cellStyle name="Header2 3 2 2" xfId="3074" xr:uid="{00000000-0005-0000-0000-00009F070000}"/>
    <cellStyle name="Header2 3 2 2 2" xfId="3710" xr:uid="{00000000-0005-0000-0000-0000A0070000}"/>
    <cellStyle name="Header2 3 2 3" xfId="3217" xr:uid="{00000000-0005-0000-0000-0000A1070000}"/>
    <cellStyle name="Header2 3 2 3 2" xfId="3801" xr:uid="{00000000-0005-0000-0000-0000A2070000}"/>
    <cellStyle name="Header2 3 2 4" xfId="2991" xr:uid="{00000000-0005-0000-0000-0000A3070000}"/>
    <cellStyle name="Header2 3 3" xfId="2369" xr:uid="{00000000-0005-0000-0000-0000A4070000}"/>
    <cellStyle name="Header2 3 3 2" xfId="2985" xr:uid="{00000000-0005-0000-0000-0000A5070000}"/>
    <cellStyle name="Header2 3 3 2 2" xfId="3636" xr:uid="{00000000-0005-0000-0000-0000A6070000}"/>
    <cellStyle name="Header2 3 3 3" xfId="2954" xr:uid="{00000000-0005-0000-0000-0000A7070000}"/>
    <cellStyle name="Header2 3 3 3 2" xfId="3797" xr:uid="{00000000-0005-0000-0000-0000A8070000}"/>
    <cellStyle name="Header2 3 3 4" xfId="3144" xr:uid="{00000000-0005-0000-0000-0000A9070000}"/>
    <cellStyle name="Header2 3 4" xfId="2722" xr:uid="{00000000-0005-0000-0000-0000AA070000}"/>
    <cellStyle name="Header2 3 4 2" xfId="3519" xr:uid="{00000000-0005-0000-0000-0000AB070000}"/>
    <cellStyle name="Header2 3 5" xfId="2535" xr:uid="{00000000-0005-0000-0000-0000AC070000}"/>
    <cellStyle name="Header2 4" xfId="788" xr:uid="{00000000-0005-0000-0000-0000AD070000}"/>
    <cellStyle name="Header2 4 2" xfId="2438" xr:uid="{00000000-0005-0000-0000-0000AE070000}"/>
    <cellStyle name="Header2 4 2 2" xfId="3034" xr:uid="{00000000-0005-0000-0000-0000AF070000}"/>
    <cellStyle name="Header2 4 2 2 2" xfId="3670" xr:uid="{00000000-0005-0000-0000-0000B0070000}"/>
    <cellStyle name="Header2 4 2 3" xfId="2732" xr:uid="{00000000-0005-0000-0000-0000B1070000}"/>
    <cellStyle name="Header2 4 2 3 2" xfId="3792" xr:uid="{00000000-0005-0000-0000-0000B2070000}"/>
    <cellStyle name="Header2 4 2 4" xfId="3160" xr:uid="{00000000-0005-0000-0000-0000B3070000}"/>
    <cellStyle name="Header2 4 3" xfId="2799" xr:uid="{00000000-0005-0000-0000-0000B4070000}"/>
    <cellStyle name="Header2 4 3 2" xfId="3586" xr:uid="{00000000-0005-0000-0000-0000B5070000}"/>
    <cellStyle name="Header2 4 4" xfId="2947" xr:uid="{00000000-0005-0000-0000-0000B6070000}"/>
    <cellStyle name="Header2 5" xfId="823" xr:uid="{00000000-0005-0000-0000-0000B7070000}"/>
    <cellStyle name="Header2 5 2" xfId="2821" xr:uid="{00000000-0005-0000-0000-0000B8070000}"/>
    <cellStyle name="Header2 5 2 2" xfId="3601" xr:uid="{00000000-0005-0000-0000-0000B9070000}"/>
    <cellStyle name="Header2 5 3" xfId="2545" xr:uid="{00000000-0005-0000-0000-0000BA070000}"/>
    <cellStyle name="Header2 5 3 2" xfId="3787" xr:uid="{00000000-0005-0000-0000-0000BB070000}"/>
    <cellStyle name="Header2 5 4" xfId="3210" xr:uid="{00000000-0005-0000-0000-0000BC070000}"/>
    <cellStyle name="Header2 6" xfId="2583" xr:uid="{00000000-0005-0000-0000-0000BD070000}"/>
    <cellStyle name="Header2 6 2" xfId="3446" xr:uid="{00000000-0005-0000-0000-0000BE070000}"/>
    <cellStyle name="Header2 7" xfId="2685" xr:uid="{00000000-0005-0000-0000-0000BF070000}"/>
    <cellStyle name="Header2 7 2" xfId="3791" xr:uid="{00000000-0005-0000-0000-0000C0070000}"/>
    <cellStyle name="Header2 8" xfId="396" xr:uid="{00000000-0005-0000-0000-0000C1070000}"/>
    <cellStyle name="Header2 8 2" xfId="3757" xr:uid="{00000000-0005-0000-0000-0000C2070000}"/>
    <cellStyle name="Heading" xfId="228" xr:uid="{00000000-0005-0000-0000-0000C3070000}"/>
    <cellStyle name="Heading 1 2" xfId="2136" xr:uid="{00000000-0005-0000-0000-0000C4070000}"/>
    <cellStyle name="Heading 2 2" xfId="769" xr:uid="{00000000-0005-0000-0000-0000C5070000}"/>
    <cellStyle name="Heading 2 2 2" xfId="2137" xr:uid="{00000000-0005-0000-0000-0000C6070000}"/>
    <cellStyle name="Heading 2 2 3" xfId="2780" xr:uid="{00000000-0005-0000-0000-0000C7070000}"/>
    <cellStyle name="Heading 2 2 3 2" xfId="3796" xr:uid="{00000000-0005-0000-0000-0000C8070000}"/>
    <cellStyle name="Heading 2 2 4" xfId="3774" xr:uid="{00000000-0005-0000-0000-0000C9070000}"/>
    <cellStyle name="Heading 2 3" xfId="2421" xr:uid="{00000000-0005-0000-0000-0000CA070000}"/>
    <cellStyle name="Heading 2 3 2" xfId="3786" xr:uid="{00000000-0005-0000-0000-0000CB070000}"/>
    <cellStyle name="Heading 2 4" xfId="628" xr:uid="{00000000-0005-0000-0000-0000CC070000}"/>
    <cellStyle name="Heading 2 5" xfId="3766" xr:uid="{00000000-0005-0000-0000-0000CD070000}"/>
    <cellStyle name="Heading 3 2" xfId="2138" xr:uid="{00000000-0005-0000-0000-0000CE070000}"/>
    <cellStyle name="Heading 3 3" xfId="2370" xr:uid="{00000000-0005-0000-0000-0000CF070000}"/>
    <cellStyle name="Heading 3 3 2" xfId="3779" xr:uid="{00000000-0005-0000-0000-0000D0070000}"/>
    <cellStyle name="Heading 3 4" xfId="671" xr:uid="{00000000-0005-0000-0000-0000D1070000}"/>
    <cellStyle name="Heading 3 5" xfId="3767" xr:uid="{00000000-0005-0000-0000-0000D2070000}"/>
    <cellStyle name="Heading 4 2" xfId="2139" xr:uid="{00000000-0005-0000-0000-0000D3070000}"/>
    <cellStyle name="Heading 4 3" xfId="824" xr:uid="{00000000-0005-0000-0000-0000D4070000}"/>
    <cellStyle name="Heading 4 4" xfId="3775" xr:uid="{00000000-0005-0000-0000-0000D5070000}"/>
    <cellStyle name="Heading 5" xfId="397" xr:uid="{00000000-0005-0000-0000-0000D6070000}"/>
    <cellStyle name="Heading 5 2" xfId="3758" xr:uid="{00000000-0005-0000-0000-0000D7070000}"/>
    <cellStyle name="Heading1" xfId="229" xr:uid="{00000000-0005-0000-0000-0000D8070000}"/>
    <cellStyle name="Heading1 2" xfId="2140" xr:uid="{00000000-0005-0000-0000-0000D9070000}"/>
    <cellStyle name="Heading2" xfId="230" xr:uid="{00000000-0005-0000-0000-0000DA070000}"/>
    <cellStyle name="Heading2 2" xfId="2141" xr:uid="{00000000-0005-0000-0000-0000DB070000}"/>
    <cellStyle name="HEADINGS" xfId="231" xr:uid="{00000000-0005-0000-0000-0000DC070000}"/>
    <cellStyle name="HEADINGS 2" xfId="627" xr:uid="{00000000-0005-0000-0000-0000DD070000}"/>
    <cellStyle name="HEADINGS 2 2" xfId="768" xr:uid="{00000000-0005-0000-0000-0000DE070000}"/>
    <cellStyle name="HEADINGS 2 2 2" xfId="2779" xr:uid="{00000000-0005-0000-0000-0000DF070000}"/>
    <cellStyle name="HEADINGS 2 2 2 2" xfId="3795" xr:uid="{00000000-0005-0000-0000-0000E0070000}"/>
    <cellStyle name="HEADINGS 2 2 3" xfId="3773" xr:uid="{00000000-0005-0000-0000-0000E1070000}"/>
    <cellStyle name="HEADINGS 2 3" xfId="2420" xr:uid="{00000000-0005-0000-0000-0000E2070000}"/>
    <cellStyle name="HEADINGS 2 3 2" xfId="3785" xr:uid="{00000000-0005-0000-0000-0000E3070000}"/>
    <cellStyle name="HEADINGS 2 4" xfId="3765" xr:uid="{00000000-0005-0000-0000-0000E4070000}"/>
    <cellStyle name="HEADINGS 3" xfId="672" xr:uid="{00000000-0005-0000-0000-0000E5070000}"/>
    <cellStyle name="HEADINGS 3 2" xfId="2371" xr:uid="{00000000-0005-0000-0000-0000E6070000}"/>
    <cellStyle name="HEADINGS 3 2 2" xfId="3780" xr:uid="{00000000-0005-0000-0000-0000E7070000}"/>
    <cellStyle name="HEADINGS 3 3" xfId="3768" xr:uid="{00000000-0005-0000-0000-0000E8070000}"/>
    <cellStyle name="HEADINGS 4" xfId="825" xr:uid="{00000000-0005-0000-0000-0000E9070000}"/>
    <cellStyle name="HEADINGS 4 2" xfId="3776" xr:uid="{00000000-0005-0000-0000-0000EA070000}"/>
    <cellStyle name="HEADINGS 5" xfId="398" xr:uid="{00000000-0005-0000-0000-0000EB070000}"/>
    <cellStyle name="HEADINGS 5 2" xfId="3759" xr:uid="{00000000-0005-0000-0000-0000EC070000}"/>
    <cellStyle name="HEADINGSTOP" xfId="232" xr:uid="{00000000-0005-0000-0000-0000ED070000}"/>
    <cellStyle name="Hyperlänk_TAX PACK" xfId="2142" xr:uid="{00000000-0005-0000-0000-0000EE070000}"/>
    <cellStyle name="Hyperlink 2" xfId="817" xr:uid="{00000000-0005-0000-0000-0000EF070000}"/>
    <cellStyle name="Î¡Ýá [0]_95" xfId="2143" xr:uid="{00000000-0005-0000-0000-0000F0070000}"/>
    <cellStyle name="Î¡Ýá_95" xfId="2144" xr:uid="{00000000-0005-0000-0000-0000F1070000}"/>
    <cellStyle name="indata" xfId="2145" xr:uid="{00000000-0005-0000-0000-0000F2070000}"/>
    <cellStyle name="indata 2" xfId="2451" xr:uid="{00000000-0005-0000-0000-0000F3070000}"/>
    <cellStyle name="indata 2 2" xfId="3047" xr:uid="{00000000-0005-0000-0000-0000F4070000}"/>
    <cellStyle name="indata 2 2 2" xfId="3683" xr:uid="{00000000-0005-0000-0000-0000F5070000}"/>
    <cellStyle name="indata 2 3" xfId="2933" xr:uid="{00000000-0005-0000-0000-0000F6070000}"/>
    <cellStyle name="indata 2 4" xfId="2687" xr:uid="{00000000-0005-0000-0000-0000F7070000}"/>
    <cellStyle name="indata 3" xfId="2919" xr:uid="{00000000-0005-0000-0000-0000F8070000}"/>
    <cellStyle name="indata 3 2" xfId="3614" xr:uid="{00000000-0005-0000-0000-0000F9070000}"/>
    <cellStyle name="indata 4" xfId="2667" xr:uid="{00000000-0005-0000-0000-0000FA070000}"/>
    <cellStyle name="indata 5" xfId="2839" xr:uid="{00000000-0005-0000-0000-0000FB070000}"/>
    <cellStyle name="Input [yellow]" xfId="233" xr:uid="{00000000-0005-0000-0000-0000FC070000}"/>
    <cellStyle name="Input [yellow] 2" xfId="456" xr:uid="{00000000-0005-0000-0000-0000FD070000}"/>
    <cellStyle name="Input [yellow] 2 2" xfId="705" xr:uid="{00000000-0005-0000-0000-0000FE070000}"/>
    <cellStyle name="Input [yellow] 2 2 2" xfId="2739" xr:uid="{00000000-0005-0000-0000-0000FF070000}"/>
    <cellStyle name="Input [yellow] 2 2 2 2" xfId="3532" xr:uid="{00000000-0005-0000-0000-000000080000}"/>
    <cellStyle name="Input [yellow] 2 2 3" xfId="2622" xr:uid="{00000000-0005-0000-0000-000001080000}"/>
    <cellStyle name="Input [yellow] 2 2 4" xfId="2808" xr:uid="{00000000-0005-0000-0000-000002080000}"/>
    <cellStyle name="Input [yellow] 2 3" xfId="2381" xr:uid="{00000000-0005-0000-0000-000003080000}"/>
    <cellStyle name="Input [yellow] 2 3 2" xfId="2994" xr:uid="{00000000-0005-0000-0000-000004080000}"/>
    <cellStyle name="Input [yellow] 2 3 2 2" xfId="3643" xr:uid="{00000000-0005-0000-0000-000005080000}"/>
    <cellStyle name="Input [yellow] 2 3 3" xfId="3133" xr:uid="{00000000-0005-0000-0000-000006080000}"/>
    <cellStyle name="Input [yellow] 2 3 4" xfId="2665" xr:uid="{00000000-0005-0000-0000-000007080000}"/>
    <cellStyle name="Input [yellow] 2 4" xfId="2630" xr:uid="{00000000-0005-0000-0000-000008080000}"/>
    <cellStyle name="Input [yellow] 2 4 2" xfId="3462" xr:uid="{00000000-0005-0000-0000-000009080000}"/>
    <cellStyle name="Input [yellow] 2 5" xfId="2938" xr:uid="{00000000-0005-0000-0000-00000A080000}"/>
    <cellStyle name="Input [yellow] 2 6" xfId="3121" xr:uid="{00000000-0005-0000-0000-00000B080000}"/>
    <cellStyle name="Input [yellow] 2 7" xfId="3285" xr:uid="{00000000-0005-0000-0000-00000C080000}"/>
    <cellStyle name="Input [yellow] 3" xfId="626" xr:uid="{00000000-0005-0000-0000-00000D080000}"/>
    <cellStyle name="Input [yellow] 3 2" xfId="767" xr:uid="{00000000-0005-0000-0000-00000E080000}"/>
    <cellStyle name="Input [yellow] 3 2 2" xfId="2511" xr:uid="{00000000-0005-0000-0000-00000F080000}"/>
    <cellStyle name="Input [yellow] 3 2 2 2" xfId="3103" xr:uid="{00000000-0005-0000-0000-000010080000}"/>
    <cellStyle name="Input [yellow] 3 2 2 2 2" xfId="3737" xr:uid="{00000000-0005-0000-0000-000011080000}"/>
    <cellStyle name="Input [yellow] 3 2 2 3" xfId="3233" xr:uid="{00000000-0005-0000-0000-000012080000}"/>
    <cellStyle name="Input [yellow] 3 2 2 4" xfId="3119" xr:uid="{00000000-0005-0000-0000-000013080000}"/>
    <cellStyle name="Input [yellow] 3 2 3" xfId="2778" xr:uid="{00000000-0005-0000-0000-000014080000}"/>
    <cellStyle name="Input [yellow] 3 2 3 2" xfId="3567" xr:uid="{00000000-0005-0000-0000-000015080000}"/>
    <cellStyle name="Input [yellow] 3 2 4" xfId="2604" xr:uid="{00000000-0005-0000-0000-000016080000}"/>
    <cellStyle name="Input [yellow] 3 2 5" xfId="2552" xr:uid="{00000000-0005-0000-0000-000017080000}"/>
    <cellStyle name="Input [yellow] 3 3" xfId="2419" xr:uid="{00000000-0005-0000-0000-000018080000}"/>
    <cellStyle name="Input [yellow] 3 3 2" xfId="3017" xr:uid="{00000000-0005-0000-0000-000019080000}"/>
    <cellStyle name="Input [yellow] 3 3 2 2" xfId="3660" xr:uid="{00000000-0005-0000-0000-00001A080000}"/>
    <cellStyle name="Input [yellow] 3 3 3" xfId="2904" xr:uid="{00000000-0005-0000-0000-00001B080000}"/>
    <cellStyle name="Input [yellow] 3 3 4" xfId="3138" xr:uid="{00000000-0005-0000-0000-00001C080000}"/>
    <cellStyle name="Input [yellow] 3 4" xfId="2693" xr:uid="{00000000-0005-0000-0000-00001D080000}"/>
    <cellStyle name="Input [yellow] 3 4 2" xfId="3496" xr:uid="{00000000-0005-0000-0000-00001E080000}"/>
    <cellStyle name="Input [yellow] 3 5" xfId="2878" xr:uid="{00000000-0005-0000-0000-00001F080000}"/>
    <cellStyle name="Input [yellow] 3 6" xfId="2846" xr:uid="{00000000-0005-0000-0000-000020080000}"/>
    <cellStyle name="Input [yellow] 4" xfId="673" xr:uid="{00000000-0005-0000-0000-000021080000}"/>
    <cellStyle name="Input [yellow] 4 2" xfId="2724" xr:uid="{00000000-0005-0000-0000-000022080000}"/>
    <cellStyle name="Input [yellow] 4 2 2" xfId="3520" xr:uid="{00000000-0005-0000-0000-000023080000}"/>
    <cellStyle name="Input [yellow] 4 3" xfId="3123" xr:uid="{00000000-0005-0000-0000-000024080000}"/>
    <cellStyle name="Input [yellow] 4 4" xfId="3008" xr:uid="{00000000-0005-0000-0000-000025080000}"/>
    <cellStyle name="Input [yellow] 5" xfId="789" xr:uid="{00000000-0005-0000-0000-000026080000}"/>
    <cellStyle name="Input [yellow] 5 2" xfId="2800" xr:uid="{00000000-0005-0000-0000-000027080000}"/>
    <cellStyle name="Input [yellow] 5 2 2" xfId="3587" xr:uid="{00000000-0005-0000-0000-000028080000}"/>
    <cellStyle name="Input [yellow] 5 3" xfId="2959" xr:uid="{00000000-0005-0000-0000-000029080000}"/>
    <cellStyle name="Input [yellow] 5 4" xfId="2585" xr:uid="{00000000-0005-0000-0000-00002A080000}"/>
    <cellStyle name="Input [yellow] 6" xfId="826" xr:uid="{00000000-0005-0000-0000-00002B080000}"/>
    <cellStyle name="Input [yellow] 6 2" xfId="2822" xr:uid="{00000000-0005-0000-0000-00002C080000}"/>
    <cellStyle name="Input [yellow] 6 2 2" xfId="3602" xr:uid="{00000000-0005-0000-0000-00002D080000}"/>
    <cellStyle name="Input [yellow] 6 3" xfId="2851" xr:uid="{00000000-0005-0000-0000-00002E080000}"/>
    <cellStyle name="Input [yellow] 6 4" xfId="3258" xr:uid="{00000000-0005-0000-0000-00002F080000}"/>
    <cellStyle name="Input [yellow] 7" xfId="3276" xr:uid="{00000000-0005-0000-0000-000030080000}"/>
    <cellStyle name="Input 2" xfId="2146" xr:uid="{00000000-0005-0000-0000-000031080000}"/>
    <cellStyle name="Kolumnrubrik" xfId="2147" xr:uid="{00000000-0005-0000-0000-000032080000}"/>
    <cellStyle name="Kolumnrubrik 2" xfId="2452" xr:uid="{00000000-0005-0000-0000-000033080000}"/>
    <cellStyle name="Kolumnrubrik 2 2" xfId="3048" xr:uid="{00000000-0005-0000-0000-000034080000}"/>
    <cellStyle name="Kolumnrubrik 2 2 2" xfId="3684" xr:uid="{00000000-0005-0000-0000-000035080000}"/>
    <cellStyle name="Kolumnrubrik 2 3" xfId="2570" xr:uid="{00000000-0005-0000-0000-000036080000}"/>
    <cellStyle name="Kolumnrubrik 2 4" xfId="2580" xr:uid="{00000000-0005-0000-0000-000037080000}"/>
    <cellStyle name="Kolumnrubrik 3" xfId="2920" xr:uid="{00000000-0005-0000-0000-000038080000}"/>
    <cellStyle name="Kolumnrubrik 3 2" xfId="3615" xr:uid="{00000000-0005-0000-0000-000039080000}"/>
    <cellStyle name="Kolumnrubrik 4" xfId="2906" xr:uid="{00000000-0005-0000-0000-00003A080000}"/>
    <cellStyle name="Kolumnrubrik 5" xfId="2838" xr:uid="{00000000-0005-0000-0000-00003B080000}"/>
    <cellStyle name="KRADSFI" xfId="2148" xr:uid="{00000000-0005-0000-0000-00003C080000}"/>
    <cellStyle name="KRADSFI 2" xfId="2453" xr:uid="{00000000-0005-0000-0000-00003D080000}"/>
    <cellStyle name="KRADSFI 2 2" xfId="3049" xr:uid="{00000000-0005-0000-0000-00003E080000}"/>
    <cellStyle name="KRADSFI 2 2 2" xfId="3685" xr:uid="{00000000-0005-0000-0000-00003F080000}"/>
    <cellStyle name="KRADSFI 2 3" xfId="3132" xr:uid="{00000000-0005-0000-0000-000040080000}"/>
    <cellStyle name="KRADSFI 2 4" xfId="2930" xr:uid="{00000000-0005-0000-0000-000041080000}"/>
    <cellStyle name="KRADSFI 3" xfId="2921" xr:uid="{00000000-0005-0000-0000-000042080000}"/>
    <cellStyle name="KRADSFI 3 2" xfId="3616" xr:uid="{00000000-0005-0000-0000-000043080000}"/>
    <cellStyle name="KRADSFI 4" xfId="2554" xr:uid="{00000000-0005-0000-0000-000044080000}"/>
    <cellStyle name="KRADSFI 5" xfId="2837" xr:uid="{00000000-0005-0000-0000-000045080000}"/>
    <cellStyle name="left" xfId="234" xr:uid="{00000000-0005-0000-0000-000046080000}"/>
    <cellStyle name="Link Currency (0)" xfId="235" xr:uid="{00000000-0005-0000-0000-000047080000}"/>
    <cellStyle name="Link Currency (2)" xfId="236" xr:uid="{00000000-0005-0000-0000-000048080000}"/>
    <cellStyle name="Link Units (0)" xfId="237" xr:uid="{00000000-0005-0000-0000-000049080000}"/>
    <cellStyle name="Link Units (1)" xfId="238" xr:uid="{00000000-0005-0000-0000-00004A080000}"/>
    <cellStyle name="Link Units (2)" xfId="239" xr:uid="{00000000-0005-0000-0000-00004B080000}"/>
    <cellStyle name="Linked Cell 2" xfId="2149" xr:uid="{00000000-0005-0000-0000-00004C080000}"/>
    <cellStyle name="Millares [0]_laroux" xfId="240" xr:uid="{00000000-0005-0000-0000-00004D080000}"/>
    <cellStyle name="Millares_laroux" xfId="241" xr:uid="{00000000-0005-0000-0000-00004E080000}"/>
    <cellStyle name="Milliers [0]_!!!GO" xfId="2150" xr:uid="{00000000-0005-0000-0000-00004F080000}"/>
    <cellStyle name="Milliers_!!!GO" xfId="2151" xr:uid="{00000000-0005-0000-0000-000050080000}"/>
    <cellStyle name="Minus (0)" xfId="2152" xr:uid="{00000000-0005-0000-0000-000051080000}"/>
    <cellStyle name="Model" xfId="242" xr:uid="{00000000-0005-0000-0000-000052080000}"/>
    <cellStyle name="Model 2" xfId="625" xr:uid="{00000000-0005-0000-0000-000053080000}"/>
    <cellStyle name="Model 2 2" xfId="766" xr:uid="{00000000-0005-0000-0000-000054080000}"/>
    <cellStyle name="Model 2 2 2" xfId="2777" xr:uid="{00000000-0005-0000-0000-000055080000}"/>
    <cellStyle name="Model 2 2 2 2" xfId="3794" xr:uid="{00000000-0005-0000-0000-000056080000}"/>
    <cellStyle name="Model 2 2 3" xfId="3772" xr:uid="{00000000-0005-0000-0000-000057080000}"/>
    <cellStyle name="Model 2 3" xfId="2418" xr:uid="{00000000-0005-0000-0000-000058080000}"/>
    <cellStyle name="Model 2 3 2" xfId="3784" xr:uid="{00000000-0005-0000-0000-000059080000}"/>
    <cellStyle name="Model 2 4" xfId="3764" xr:uid="{00000000-0005-0000-0000-00005A080000}"/>
    <cellStyle name="Model 3" xfId="674" xr:uid="{00000000-0005-0000-0000-00005B080000}"/>
    <cellStyle name="Model 3 2" xfId="2372" xr:uid="{00000000-0005-0000-0000-00005C080000}"/>
    <cellStyle name="Model 3 2 2" xfId="3781" xr:uid="{00000000-0005-0000-0000-00005D080000}"/>
    <cellStyle name="Model 3 3" xfId="3769" xr:uid="{00000000-0005-0000-0000-00005E080000}"/>
    <cellStyle name="Model 4" xfId="827" xr:uid="{00000000-0005-0000-0000-00005F080000}"/>
    <cellStyle name="Model 4 2" xfId="3777" xr:uid="{00000000-0005-0000-0000-000060080000}"/>
    <cellStyle name="Model 5" xfId="399" xr:uid="{00000000-0005-0000-0000-000061080000}"/>
    <cellStyle name="Model 5 2" xfId="3760" xr:uid="{00000000-0005-0000-0000-000062080000}"/>
    <cellStyle name="Monaire [0]_AR1194" xfId="2153" xr:uid="{00000000-0005-0000-0000-000063080000}"/>
    <cellStyle name="Monaire_AR1194" xfId="2154" xr:uid="{00000000-0005-0000-0000-000064080000}"/>
    <cellStyle name="Monšaire [0]_AR1194" xfId="2157" xr:uid="{00000000-0005-0000-0000-000065080000}"/>
    <cellStyle name="Monšaire_AR1194" xfId="2158" xr:uid="{00000000-0005-0000-0000-000066080000}"/>
    <cellStyle name="Moneda [0]_laroux" xfId="243" xr:uid="{00000000-0005-0000-0000-000067080000}"/>
    <cellStyle name="Moneda_laroux" xfId="244" xr:uid="{00000000-0005-0000-0000-000068080000}"/>
    <cellStyle name="Monétaire [0]_!!!GO" xfId="2155" xr:uid="{00000000-0005-0000-0000-000069080000}"/>
    <cellStyle name="Monétaire_!!!GO" xfId="2156" xr:uid="{00000000-0005-0000-0000-00006A080000}"/>
    <cellStyle name="Mon彋aire [0]_AR1194" xfId="2159" xr:uid="{00000000-0005-0000-0000-00006D080000}"/>
    <cellStyle name="Mon彋aire_AR1194" xfId="2160" xr:uid="{00000000-0005-0000-0000-00006E080000}"/>
    <cellStyle name="Mon閠aire [0]_AR1194" xfId="2161" xr:uid="{00000000-0005-0000-0000-00006B080000}"/>
    <cellStyle name="Mon閠aire_AR1194" xfId="2162" xr:uid="{00000000-0005-0000-0000-00006C080000}"/>
    <cellStyle name="mw" xfId="245" xr:uid="{00000000-0005-0000-0000-00006F080000}"/>
    <cellStyle name="Neutral 2" xfId="2163" xr:uid="{00000000-0005-0000-0000-000070080000}"/>
    <cellStyle name="no dec" xfId="246" xr:uid="{00000000-0005-0000-0000-000071080000}"/>
    <cellStyle name="Normal" xfId="0" builtinId="0"/>
    <cellStyle name="Normal - Style1" xfId="247" xr:uid="{00000000-0005-0000-0000-000073080000}"/>
    <cellStyle name="Normal - Style1 2" xfId="2164" xr:uid="{00000000-0005-0000-0000-000074080000}"/>
    <cellStyle name="Normal 1" xfId="248" xr:uid="{00000000-0005-0000-0000-000075080000}"/>
    <cellStyle name="Normal 1 2" xfId="457" xr:uid="{00000000-0005-0000-0000-000076080000}"/>
    <cellStyle name="Normal 1 2 2" xfId="706" xr:uid="{00000000-0005-0000-0000-000077080000}"/>
    <cellStyle name="Normal 1 3" xfId="522" xr:uid="{00000000-0005-0000-0000-000078080000}"/>
    <cellStyle name="Normal 1 4" xfId="400" xr:uid="{00000000-0005-0000-0000-000079080000}"/>
    <cellStyle name="Normal 2" xfId="432" xr:uid="{00000000-0005-0000-0000-00007A080000}"/>
    <cellStyle name="Normal 2 2" xfId="797" xr:uid="{00000000-0005-0000-0000-00007B080000}"/>
    <cellStyle name="Normal 2 2 2" xfId="816" xr:uid="{00000000-0005-0000-0000-00007C080000}"/>
    <cellStyle name="Normal 2 2 3" xfId="2166" xr:uid="{00000000-0005-0000-0000-00007D080000}"/>
    <cellStyle name="Normal 2 3" xfId="2165" xr:uid="{00000000-0005-0000-0000-00007E080000}"/>
    <cellStyle name="Normal 2 3 2" xfId="806" xr:uid="{00000000-0005-0000-0000-00007F080000}"/>
    <cellStyle name="Normal 2 4" xfId="2526" xr:uid="{00000000-0005-0000-0000-000080080000}"/>
    <cellStyle name="Normal 2 4 2" xfId="3114" xr:uid="{00000000-0005-0000-0000-000081080000}"/>
    <cellStyle name="Normal 2 4 2 2" xfId="3748" xr:uid="{00000000-0005-0000-0000-000082080000}"/>
    <cellStyle name="Normal 2 4 3" xfId="3437" xr:uid="{00000000-0005-0000-0000-000083080000}"/>
    <cellStyle name="Normal 3" xfId="249" xr:uid="{00000000-0005-0000-0000-000084080000}"/>
    <cellStyle name="Normal 3 2" xfId="2168" xr:uid="{00000000-0005-0000-0000-000085080000}"/>
    <cellStyle name="Normal 3 3" xfId="2167" xr:uid="{00000000-0005-0000-0000-000086080000}"/>
    <cellStyle name="Normal 4" xfId="645" xr:uid="{00000000-0005-0000-0000-000087080000}"/>
    <cellStyle name="Normal 4 2" xfId="652" xr:uid="{00000000-0005-0000-0000-000088080000}"/>
    <cellStyle name="Normal 4 2 2" xfId="2429" xr:uid="{00000000-0005-0000-0000-000089080000}"/>
    <cellStyle name="Normal 4 2 3" xfId="2170" xr:uid="{00000000-0005-0000-0000-00008A080000}"/>
    <cellStyle name="Normal 4 3" xfId="2428" xr:uid="{00000000-0005-0000-0000-00008B080000}"/>
    <cellStyle name="Normal 4 4" xfId="2169" xr:uid="{00000000-0005-0000-0000-00008C080000}"/>
    <cellStyle name="Normal 5" xfId="1" xr:uid="{00000000-0005-0000-0000-00008D080000}"/>
    <cellStyle name="Normal 5 2" xfId="654" xr:uid="{00000000-0005-0000-0000-00008E080000}"/>
    <cellStyle name="Normal 5 2 2" xfId="647" xr:uid="{00000000-0005-0000-0000-00008F080000}"/>
    <cellStyle name="Normal 6" xfId="815" xr:uid="{00000000-0005-0000-0000-000090080000}"/>
    <cellStyle name="Normal 7" xfId="3754" xr:uid="{00000000-0005-0000-0000-000091080000}"/>
    <cellStyle name="Normal 8" xfId="643" xr:uid="{00000000-0005-0000-0000-000092080000}"/>
    <cellStyle name="Normalny_Arkusz1" xfId="250" xr:uid="{00000000-0005-0000-0000-000093080000}"/>
    <cellStyle name="Note 2" xfId="2171" xr:uid="{00000000-0005-0000-0000-000094080000}"/>
    <cellStyle name="Ø›ŽÅ [0]_06" xfId="2172" xr:uid="{00000000-0005-0000-0000-000095080000}"/>
    <cellStyle name="Ø›ŽÅ[0]_cashflow" xfId="2173" xr:uid="{00000000-0005-0000-0000-000096080000}"/>
    <cellStyle name="Ø›ŽÅ_06" xfId="2174" xr:uid="{00000000-0005-0000-0000-000097080000}"/>
    <cellStyle name="Ò»°ã_ˆó±í¸½±í" xfId="2175" xr:uid="{00000000-0005-0000-0000-000098080000}"/>
    <cellStyle name="ØÅ [0]_06" xfId="2176" xr:uid="{00000000-0005-0000-0000-000099080000}"/>
    <cellStyle name="ØÅ[0]_cashflow" xfId="2177" xr:uid="{00000000-0005-0000-0000-00009A080000}"/>
    <cellStyle name="ØÅ_06" xfId="2178" xr:uid="{00000000-0005-0000-0000-00009B080000}"/>
    <cellStyle name="Œ…‹æØ‚è [0.00]_Region Orders (2)" xfId="2179" xr:uid="{00000000-0005-0000-0000-00009C080000}"/>
    <cellStyle name="Œ…‹æØ‚è_Region Orders (2)" xfId="2180" xr:uid="{00000000-0005-0000-0000-00009D080000}"/>
    <cellStyle name="øFòé_BS9701-3" xfId="2181" xr:uid="{00000000-0005-0000-0000-00009E080000}"/>
    <cellStyle name="øj‚¾?_BS9701-3" xfId="2182" xr:uid="{00000000-0005-0000-0000-00009F080000}"/>
    <cellStyle name="ºó¼Ì³¬¼¶Á´½Ó" xfId="2183" xr:uid="{00000000-0005-0000-0000-0000A0080000}"/>
    <cellStyle name="Output 2" xfId="2184" xr:uid="{00000000-0005-0000-0000-0000A1080000}"/>
    <cellStyle name="Output Amounts" xfId="251" xr:uid="{00000000-0005-0000-0000-0000A2080000}"/>
    <cellStyle name="Output Line Items" xfId="252" xr:uid="{00000000-0005-0000-0000-0000A3080000}"/>
    <cellStyle name="per.style" xfId="253" xr:uid="{00000000-0005-0000-0000-0000A4080000}"/>
    <cellStyle name="Percent (0)" xfId="255" xr:uid="{00000000-0005-0000-0000-0000A5080000}"/>
    <cellStyle name="Percent [0]" xfId="256" xr:uid="{00000000-0005-0000-0000-0000A6080000}"/>
    <cellStyle name="Percent [00]" xfId="257" xr:uid="{00000000-0005-0000-0000-0000A7080000}"/>
    <cellStyle name="Percent [2]" xfId="258" xr:uid="{00000000-0005-0000-0000-0000A8080000}"/>
    <cellStyle name="Percent 2" xfId="801" xr:uid="{00000000-0005-0000-0000-0000A9080000}"/>
    <cellStyle name="Percent 2 2" xfId="2186" xr:uid="{00000000-0005-0000-0000-0000AA080000}"/>
    <cellStyle name="Percent 2 3" xfId="2185" xr:uid="{00000000-0005-0000-0000-0000AB080000}"/>
    <cellStyle name="Percent 3" xfId="2187" xr:uid="{00000000-0005-0000-0000-0000AC080000}"/>
    <cellStyle name="Percent 4" xfId="254" xr:uid="{00000000-0005-0000-0000-0000AD080000}"/>
    <cellStyle name="Percent 5" xfId="3756" xr:uid="{00000000-0005-0000-0000-0000AE080000}"/>
    <cellStyle name="PERCENTAGE" xfId="2188" xr:uid="{00000000-0005-0000-0000-0000AF080000}"/>
    <cellStyle name="Prefilled" xfId="259" xr:uid="{00000000-0005-0000-0000-0000B0080000}"/>
    <cellStyle name="Prefilled 2" xfId="458" xr:uid="{00000000-0005-0000-0000-0000B1080000}"/>
    <cellStyle name="Prefilled 2 2" xfId="707" xr:uid="{00000000-0005-0000-0000-0000B2080000}"/>
    <cellStyle name="Prefilled 2 2 2" xfId="2740" xr:uid="{00000000-0005-0000-0000-0000B3080000}"/>
    <cellStyle name="Prefilled 2 2 2 2" xfId="3533" xr:uid="{00000000-0005-0000-0000-0000B4080000}"/>
    <cellStyle name="Prefilled 2 2 3" xfId="2578" xr:uid="{00000000-0005-0000-0000-0000B5080000}"/>
    <cellStyle name="Prefilled 2 2 4" xfId="3162" xr:uid="{00000000-0005-0000-0000-0000B6080000}"/>
    <cellStyle name="Prefilled 2 3" xfId="2382" xr:uid="{00000000-0005-0000-0000-0000B7080000}"/>
    <cellStyle name="Prefilled 2 3 2" xfId="2995" xr:uid="{00000000-0005-0000-0000-0000B8080000}"/>
    <cellStyle name="Prefilled 2 3 2 2" xfId="3644" xr:uid="{00000000-0005-0000-0000-0000B9080000}"/>
    <cellStyle name="Prefilled 2 3 3" xfId="3139" xr:uid="{00000000-0005-0000-0000-0000BA080000}"/>
    <cellStyle name="Prefilled 2 3 4" xfId="2706" xr:uid="{00000000-0005-0000-0000-0000BB080000}"/>
    <cellStyle name="Prefilled 2 4" xfId="2631" xr:uid="{00000000-0005-0000-0000-0000BC080000}"/>
    <cellStyle name="Prefilled 2 4 2" xfId="3463" xr:uid="{00000000-0005-0000-0000-0000BD080000}"/>
    <cellStyle name="Prefilled 2 5" xfId="2937" xr:uid="{00000000-0005-0000-0000-0000BE080000}"/>
    <cellStyle name="Prefilled 2 6" xfId="2888" xr:uid="{00000000-0005-0000-0000-0000BF080000}"/>
    <cellStyle name="Prefilled 2 7" xfId="3286" xr:uid="{00000000-0005-0000-0000-0000C0080000}"/>
    <cellStyle name="Prefilled 3" xfId="624" xr:uid="{00000000-0005-0000-0000-0000C1080000}"/>
    <cellStyle name="Prefilled 3 2" xfId="765" xr:uid="{00000000-0005-0000-0000-0000C2080000}"/>
    <cellStyle name="Prefilled 3 2 2" xfId="2510" xr:uid="{00000000-0005-0000-0000-0000C3080000}"/>
    <cellStyle name="Prefilled 3 2 2 2" xfId="3102" xr:uid="{00000000-0005-0000-0000-0000C4080000}"/>
    <cellStyle name="Prefilled 3 2 2 2 2" xfId="3736" xr:uid="{00000000-0005-0000-0000-0000C5080000}"/>
    <cellStyle name="Prefilled 3 2 2 3" xfId="3232" xr:uid="{00000000-0005-0000-0000-0000C6080000}"/>
    <cellStyle name="Prefilled 3 2 2 4" xfId="2957" xr:uid="{00000000-0005-0000-0000-0000C7080000}"/>
    <cellStyle name="Prefilled 3 2 3" xfId="2776" xr:uid="{00000000-0005-0000-0000-0000C8080000}"/>
    <cellStyle name="Prefilled 3 2 3 2" xfId="3566" xr:uid="{00000000-0005-0000-0000-0000C9080000}"/>
    <cellStyle name="Prefilled 3 2 4" xfId="2544" xr:uid="{00000000-0005-0000-0000-0000CA080000}"/>
    <cellStyle name="Prefilled 3 2 5" xfId="3249" xr:uid="{00000000-0005-0000-0000-0000CB080000}"/>
    <cellStyle name="Prefilled 3 3" xfId="2417" xr:uid="{00000000-0005-0000-0000-0000CC080000}"/>
    <cellStyle name="Prefilled 3 3 2" xfId="3016" xr:uid="{00000000-0005-0000-0000-0000CD080000}"/>
    <cellStyle name="Prefilled 3 3 2 2" xfId="3659" xr:uid="{00000000-0005-0000-0000-0000CE080000}"/>
    <cellStyle name="Prefilled 3 3 3" xfId="2832" xr:uid="{00000000-0005-0000-0000-0000CF080000}"/>
    <cellStyle name="Prefilled 3 3 4" xfId="2618" xr:uid="{00000000-0005-0000-0000-0000D0080000}"/>
    <cellStyle name="Prefilled 3 4" xfId="2691" xr:uid="{00000000-0005-0000-0000-0000D1080000}"/>
    <cellStyle name="Prefilled 3 4 2" xfId="3495" xr:uid="{00000000-0005-0000-0000-0000D2080000}"/>
    <cellStyle name="Prefilled 3 5" xfId="2879" xr:uid="{00000000-0005-0000-0000-0000D3080000}"/>
    <cellStyle name="Prefilled 3 6" xfId="2847" xr:uid="{00000000-0005-0000-0000-0000D4080000}"/>
    <cellStyle name="Prefilled 4" xfId="675" xr:uid="{00000000-0005-0000-0000-0000D5080000}"/>
    <cellStyle name="Prefilled 4 2" xfId="2725" xr:uid="{00000000-0005-0000-0000-0000D6080000}"/>
    <cellStyle name="Prefilled 4 2 2" xfId="3521" xr:uid="{00000000-0005-0000-0000-0000D7080000}"/>
    <cellStyle name="Prefilled 4 3" xfId="3212" xr:uid="{00000000-0005-0000-0000-0000D8080000}"/>
    <cellStyle name="Prefilled 4 4" xfId="2537" xr:uid="{00000000-0005-0000-0000-0000D9080000}"/>
    <cellStyle name="Prefilled 5" xfId="790" xr:uid="{00000000-0005-0000-0000-0000DA080000}"/>
    <cellStyle name="Prefilled 5 2" xfId="2801" xr:uid="{00000000-0005-0000-0000-0000DB080000}"/>
    <cellStyle name="Prefilled 5 2 2" xfId="3588" xr:uid="{00000000-0005-0000-0000-0000DC080000}"/>
    <cellStyle name="Prefilled 5 3" xfId="2696" xr:uid="{00000000-0005-0000-0000-0000DD080000}"/>
    <cellStyle name="Prefilled 5 4" xfId="2842" xr:uid="{00000000-0005-0000-0000-0000DE080000}"/>
    <cellStyle name="Prefilled 6" xfId="829" xr:uid="{00000000-0005-0000-0000-0000DF080000}"/>
    <cellStyle name="Prefilled 6 2" xfId="2824" xr:uid="{00000000-0005-0000-0000-0000E0080000}"/>
    <cellStyle name="Prefilled 6 2 2" xfId="3604" xr:uid="{00000000-0005-0000-0000-0000E1080000}"/>
    <cellStyle name="Prefilled 6 3" xfId="3126" xr:uid="{00000000-0005-0000-0000-0000E2080000}"/>
    <cellStyle name="Prefilled 6 4" xfId="3241" xr:uid="{00000000-0005-0000-0000-0000E3080000}"/>
    <cellStyle name="Prefilled 7" xfId="3277" xr:uid="{00000000-0005-0000-0000-0000E4080000}"/>
    <cellStyle name="PrePop Currency (0)" xfId="260" xr:uid="{00000000-0005-0000-0000-0000E5080000}"/>
    <cellStyle name="PrePop Currency (2)" xfId="261" xr:uid="{00000000-0005-0000-0000-0000E6080000}"/>
    <cellStyle name="PrePop Units (0)" xfId="262" xr:uid="{00000000-0005-0000-0000-0000E7080000}"/>
    <cellStyle name="PrePop Units (1)" xfId="263" xr:uid="{00000000-0005-0000-0000-0000E8080000}"/>
    <cellStyle name="PrePop Units (2)" xfId="264" xr:uid="{00000000-0005-0000-0000-0000E9080000}"/>
    <cellStyle name="price" xfId="265" xr:uid="{00000000-0005-0000-0000-0000EA080000}"/>
    <cellStyle name="Prozent_HP PLotter_open" xfId="266" xr:uid="{00000000-0005-0000-0000-0000EB080000}"/>
    <cellStyle name="PSChar" xfId="267" xr:uid="{00000000-0005-0000-0000-0000EC080000}"/>
    <cellStyle name="PSDate" xfId="2189" xr:uid="{00000000-0005-0000-0000-0000ED080000}"/>
    <cellStyle name="PSDec" xfId="2190" xr:uid="{00000000-0005-0000-0000-0000EE080000}"/>
    <cellStyle name="PSHeading" xfId="268" xr:uid="{00000000-0005-0000-0000-0000EF080000}"/>
    <cellStyle name="PSHeading 2" xfId="623" xr:uid="{00000000-0005-0000-0000-0000F0080000}"/>
    <cellStyle name="PSHeading 2 2" xfId="764" xr:uid="{00000000-0005-0000-0000-0000F1080000}"/>
    <cellStyle name="PSHeading 2 2 2" xfId="2775" xr:uid="{00000000-0005-0000-0000-0000F2080000}"/>
    <cellStyle name="PSHeading 2 2 2 2" xfId="3793" xr:uid="{00000000-0005-0000-0000-0000F3080000}"/>
    <cellStyle name="PSHeading 2 2 3" xfId="3771" xr:uid="{00000000-0005-0000-0000-0000F4080000}"/>
    <cellStyle name="PSHeading 2 3" xfId="2416" xr:uid="{00000000-0005-0000-0000-0000F5080000}"/>
    <cellStyle name="PSHeading 2 3 2" xfId="3783" xr:uid="{00000000-0005-0000-0000-0000F6080000}"/>
    <cellStyle name="PSHeading 2 4" xfId="3763" xr:uid="{00000000-0005-0000-0000-0000F7080000}"/>
    <cellStyle name="PSHeading 3" xfId="676" xr:uid="{00000000-0005-0000-0000-0000F8080000}"/>
    <cellStyle name="PSHeading 3 2" xfId="2373" xr:uid="{00000000-0005-0000-0000-0000F9080000}"/>
    <cellStyle name="PSHeading 3 2 2" xfId="3782" xr:uid="{00000000-0005-0000-0000-0000FA080000}"/>
    <cellStyle name="PSHeading 3 3" xfId="3770" xr:uid="{00000000-0005-0000-0000-0000FB080000}"/>
    <cellStyle name="PSHeading 4" xfId="830" xr:uid="{00000000-0005-0000-0000-0000FC080000}"/>
    <cellStyle name="PSHeading 4 2" xfId="3778" xr:uid="{00000000-0005-0000-0000-0000FD080000}"/>
    <cellStyle name="PSHeading 5" xfId="401" xr:uid="{00000000-0005-0000-0000-0000FE080000}"/>
    <cellStyle name="PSHeading 5 2" xfId="3761" xr:uid="{00000000-0005-0000-0000-0000FF080000}"/>
    <cellStyle name="PSInt" xfId="2191" xr:uid="{00000000-0005-0000-0000-000000090000}"/>
    <cellStyle name="PSSpacer" xfId="2192" xr:uid="{00000000-0005-0000-0000-000001090000}"/>
    <cellStyle name="regstoresfromspecstores" xfId="269" xr:uid="{00000000-0005-0000-0000-000002090000}"/>
    <cellStyle name="Resultat" xfId="2193" xr:uid="{00000000-0005-0000-0000-000003090000}"/>
    <cellStyle name="revised" xfId="270" xr:uid="{00000000-0005-0000-0000-000004090000}"/>
    <cellStyle name="RevList" xfId="271" xr:uid="{00000000-0005-0000-0000-000005090000}"/>
    <cellStyle name="Rubrik1" xfId="2194" xr:uid="{00000000-0005-0000-0000-000006090000}"/>
    <cellStyle name="Rubrik1 2" xfId="2454" xr:uid="{00000000-0005-0000-0000-000007090000}"/>
    <cellStyle name="Rubrik1 2 2" xfId="3686" xr:uid="{00000000-0005-0000-0000-000008090000}"/>
    <cellStyle name="Rubrik1 2 3" xfId="3398" xr:uid="{00000000-0005-0000-0000-000009090000}"/>
    <cellStyle name="Rubrik1 2 3 2" xfId="3809" xr:uid="{00000000-0005-0000-0000-00000A090000}"/>
    <cellStyle name="Rubrik2" xfId="2195" xr:uid="{00000000-0005-0000-0000-00000B090000}"/>
    <cellStyle name="Rubrik2 2" xfId="2455" xr:uid="{00000000-0005-0000-0000-00000C090000}"/>
    <cellStyle name="Rubrik2 2 2" xfId="3687" xr:uid="{00000000-0005-0000-0000-00000D090000}"/>
    <cellStyle name="Rubrik2 2 3" xfId="3399" xr:uid="{00000000-0005-0000-0000-00000E090000}"/>
    <cellStyle name="Rubrik2 2 3 2" xfId="3810" xr:uid="{00000000-0005-0000-0000-00000F090000}"/>
    <cellStyle name="Rubrik3" xfId="2196" xr:uid="{00000000-0005-0000-0000-000010090000}"/>
    <cellStyle name="Rubrik3 2" xfId="2456" xr:uid="{00000000-0005-0000-0000-000011090000}"/>
    <cellStyle name="Rubrik3 2 2" xfId="3688" xr:uid="{00000000-0005-0000-0000-000012090000}"/>
    <cellStyle name="Rubrik3 2 3" xfId="3400" xr:uid="{00000000-0005-0000-0000-000013090000}"/>
    <cellStyle name="Rubrik3 2 3 2" xfId="3811" xr:uid="{00000000-0005-0000-0000-000014090000}"/>
    <cellStyle name="section" xfId="272" xr:uid="{00000000-0005-0000-0000-000015090000}"/>
    <cellStyle name="SHADEDSTORES" xfId="273" xr:uid="{00000000-0005-0000-0000-000016090000}"/>
    <cellStyle name="SHADEDSTORES 2" xfId="459" xr:uid="{00000000-0005-0000-0000-000017090000}"/>
    <cellStyle name="SHADEDSTORES 2 2" xfId="708" xr:uid="{00000000-0005-0000-0000-000018090000}"/>
    <cellStyle name="SHADEDSTORES 2 2 2" xfId="2486" xr:uid="{00000000-0005-0000-0000-000019090000}"/>
    <cellStyle name="SHADEDSTORES 2 2 2 2" xfId="3079" xr:uid="{00000000-0005-0000-0000-00001A090000}"/>
    <cellStyle name="SHADEDSTORES 2 2 2 2 2" xfId="3715" xr:uid="{00000000-0005-0000-0000-00001B090000}"/>
    <cellStyle name="SHADEDSTORES 2 2 2 3" xfId="3221" xr:uid="{00000000-0005-0000-0000-00001C090000}"/>
    <cellStyle name="SHADEDSTORES 2 2 2 3 2" xfId="3804" xr:uid="{00000000-0005-0000-0000-00001D090000}"/>
    <cellStyle name="SHADEDSTORES 2 2 2 4" xfId="2536" xr:uid="{00000000-0005-0000-0000-00001E090000}"/>
    <cellStyle name="SHADEDSTORES 2 2 3" xfId="2741" xr:uid="{00000000-0005-0000-0000-00001F090000}"/>
    <cellStyle name="SHADEDSTORES 2 2 3 2" xfId="3534" xr:uid="{00000000-0005-0000-0000-000020090000}"/>
    <cellStyle name="SHADEDSTORES 2 2 4" xfId="3224" xr:uid="{00000000-0005-0000-0000-000021090000}"/>
    <cellStyle name="SHADEDSTORES 2 3" xfId="2383" xr:uid="{00000000-0005-0000-0000-000022090000}"/>
    <cellStyle name="SHADEDSTORES 2 3 2" xfId="2996" xr:uid="{00000000-0005-0000-0000-000023090000}"/>
    <cellStyle name="SHADEDSTORES 2 3 2 2" xfId="3645" xr:uid="{00000000-0005-0000-0000-000024090000}"/>
    <cellStyle name="SHADEDSTORES 2 3 3" xfId="2668" xr:uid="{00000000-0005-0000-0000-000025090000}"/>
    <cellStyle name="SHADEDSTORES 2 3 3 2" xfId="3790" xr:uid="{00000000-0005-0000-0000-000026090000}"/>
    <cellStyle name="SHADEDSTORES 2 3 4" xfId="3170" xr:uid="{00000000-0005-0000-0000-000027090000}"/>
    <cellStyle name="SHADEDSTORES 2 4" xfId="2632" xr:uid="{00000000-0005-0000-0000-000028090000}"/>
    <cellStyle name="SHADEDSTORES 2 4 2" xfId="3464" xr:uid="{00000000-0005-0000-0000-000029090000}"/>
    <cellStyle name="SHADEDSTORES 2 5" xfId="2936" xr:uid="{00000000-0005-0000-0000-00002A090000}"/>
    <cellStyle name="SHADEDSTORES 2 5 2" xfId="3617" xr:uid="{00000000-0005-0000-0000-00002B090000}"/>
    <cellStyle name="SHADEDSTORES 2 6" xfId="3287" xr:uid="{00000000-0005-0000-0000-00002C090000}"/>
    <cellStyle name="SHADEDSTORES 2 6 2" xfId="3806" xr:uid="{00000000-0005-0000-0000-00002D090000}"/>
    <cellStyle name="SHADEDSTORES 3" xfId="677" xr:uid="{00000000-0005-0000-0000-00002E090000}"/>
    <cellStyle name="SHADEDSTORES 3 2" xfId="2482" xr:uid="{00000000-0005-0000-0000-00002F090000}"/>
    <cellStyle name="SHADEDSTORES 3 2 2" xfId="3075" xr:uid="{00000000-0005-0000-0000-000030090000}"/>
    <cellStyle name="SHADEDSTORES 3 2 2 2" xfId="3711" xr:uid="{00000000-0005-0000-0000-000031090000}"/>
    <cellStyle name="SHADEDSTORES 3 2 3" xfId="3218" xr:uid="{00000000-0005-0000-0000-000032090000}"/>
    <cellStyle name="SHADEDSTORES 3 2 3 2" xfId="3802" xr:uid="{00000000-0005-0000-0000-000033090000}"/>
    <cellStyle name="SHADEDSTORES 3 2 4" xfId="3225" xr:uid="{00000000-0005-0000-0000-000034090000}"/>
    <cellStyle name="SHADEDSTORES 3 3" xfId="2374" xr:uid="{00000000-0005-0000-0000-000035090000}"/>
    <cellStyle name="SHADEDSTORES 3 3 2" xfId="2987" xr:uid="{00000000-0005-0000-0000-000036090000}"/>
    <cellStyle name="SHADEDSTORES 3 3 2 2" xfId="3637" xr:uid="{00000000-0005-0000-0000-000037090000}"/>
    <cellStyle name="SHADEDSTORES 3 3 3" xfId="2960" xr:uid="{00000000-0005-0000-0000-000038090000}"/>
    <cellStyle name="SHADEDSTORES 3 3 3 2" xfId="3799" xr:uid="{00000000-0005-0000-0000-000039090000}"/>
    <cellStyle name="SHADEDSTORES 3 3 4" xfId="3189" xr:uid="{00000000-0005-0000-0000-00003A090000}"/>
    <cellStyle name="SHADEDSTORES 3 4" xfId="2726" xr:uid="{00000000-0005-0000-0000-00003B090000}"/>
    <cellStyle name="SHADEDSTORES 3 4 2" xfId="3522" xr:uid="{00000000-0005-0000-0000-00003C090000}"/>
    <cellStyle name="SHADEDSTORES 3 5" xfId="3211" xr:uid="{00000000-0005-0000-0000-00003D090000}"/>
    <cellStyle name="SHADEDSTORES 4" xfId="791" xr:uid="{00000000-0005-0000-0000-00003E090000}"/>
    <cellStyle name="SHADEDSTORES 4 2" xfId="2439" xr:uid="{00000000-0005-0000-0000-00003F090000}"/>
    <cellStyle name="SHADEDSTORES 4 2 2" xfId="3035" xr:uid="{00000000-0005-0000-0000-000040090000}"/>
    <cellStyle name="SHADEDSTORES 4 2 2 2" xfId="3671" xr:uid="{00000000-0005-0000-0000-000041090000}"/>
    <cellStyle name="SHADEDSTORES 4 2 3" xfId="2559" xr:uid="{00000000-0005-0000-0000-000042090000}"/>
    <cellStyle name="SHADEDSTORES 4 2 3 2" xfId="3788" xr:uid="{00000000-0005-0000-0000-000043090000}"/>
    <cellStyle name="SHADEDSTORES 4 2 4" xfId="2891" xr:uid="{00000000-0005-0000-0000-000044090000}"/>
    <cellStyle name="SHADEDSTORES 4 3" xfId="2802" xr:uid="{00000000-0005-0000-0000-000045090000}"/>
    <cellStyle name="SHADEDSTORES 4 3 2" xfId="3589" xr:uid="{00000000-0005-0000-0000-000046090000}"/>
    <cellStyle name="SHADEDSTORES 4 4" xfId="2901" xr:uid="{00000000-0005-0000-0000-000047090000}"/>
    <cellStyle name="SHADEDSTORES 5" xfId="831" xr:uid="{00000000-0005-0000-0000-000048090000}"/>
    <cellStyle name="SHADEDSTORES 5 2" xfId="2825" xr:uid="{00000000-0005-0000-0000-000049090000}"/>
    <cellStyle name="SHADEDSTORES 5 2 2" xfId="3605" xr:uid="{00000000-0005-0000-0000-00004A090000}"/>
    <cellStyle name="SHADEDSTORES 5 3" xfId="2962" xr:uid="{00000000-0005-0000-0000-00004B090000}"/>
    <cellStyle name="SHADEDSTORES 5 3 2" xfId="3800" xr:uid="{00000000-0005-0000-0000-00004C090000}"/>
    <cellStyle name="SHADEDSTORES 5 4" xfId="2958" xr:uid="{00000000-0005-0000-0000-00004D090000}"/>
    <cellStyle name="SHADEDSTORES 6" xfId="2595" xr:uid="{00000000-0005-0000-0000-00004E090000}"/>
    <cellStyle name="SHADEDSTORES 6 2" xfId="3447" xr:uid="{00000000-0005-0000-0000-00004F090000}"/>
    <cellStyle name="SHADEDSTORES 7" xfId="2956" xr:uid="{00000000-0005-0000-0000-000050090000}"/>
    <cellStyle name="SHADEDSTORES 7 2" xfId="3798" xr:uid="{00000000-0005-0000-0000-000051090000}"/>
    <cellStyle name="SHADEDSTORES 8" xfId="402" xr:uid="{00000000-0005-0000-0000-000052090000}"/>
    <cellStyle name="SHADEDSTORES 8 2" xfId="3762" xr:uid="{00000000-0005-0000-0000-000053090000}"/>
    <cellStyle name="SOR" xfId="274" xr:uid="{00000000-0005-0000-0000-000054090000}"/>
    <cellStyle name="SOR 2" xfId="585" xr:uid="{00000000-0005-0000-0000-000055090000}"/>
    <cellStyle name="SOR 3" xfId="597" xr:uid="{00000000-0005-0000-0000-000056090000}"/>
    <cellStyle name="SOR 4" xfId="608" xr:uid="{00000000-0005-0000-0000-000057090000}"/>
    <cellStyle name="specstores" xfId="275" xr:uid="{00000000-0005-0000-0000-000058090000}"/>
    <cellStyle name="Standard_AB_20neu" xfId="2197" xr:uid="{00000000-0005-0000-0000-000059090000}"/>
    <cellStyle name="style" xfId="276" xr:uid="{00000000-0005-0000-0000-00005A090000}"/>
    <cellStyle name="Style 1" xfId="277" xr:uid="{00000000-0005-0000-0000-00005B090000}"/>
    <cellStyle name="style 10" xfId="2448" xr:uid="{00000000-0005-0000-0000-00005C090000}"/>
    <cellStyle name="style 10 2" xfId="3044" xr:uid="{00000000-0005-0000-0000-00005D090000}"/>
    <cellStyle name="style 10 2 2" xfId="3680" xr:uid="{00000000-0005-0000-0000-00005E090000}"/>
    <cellStyle name="style 10 3" xfId="3157" xr:uid="{00000000-0005-0000-0000-00005F090000}"/>
    <cellStyle name="style 10 4" xfId="2652" xr:uid="{00000000-0005-0000-0000-000060090000}"/>
    <cellStyle name="style 11" xfId="832" xr:uid="{00000000-0005-0000-0000-000061090000}"/>
    <cellStyle name="style 11 2" xfId="2826" xr:uid="{00000000-0005-0000-0000-000062090000}"/>
    <cellStyle name="style 11 2 2" xfId="3606" xr:uid="{00000000-0005-0000-0000-000063090000}"/>
    <cellStyle name="style 11 3" xfId="2683" xr:uid="{00000000-0005-0000-0000-000064090000}"/>
    <cellStyle name="style 11 4" xfId="2679" xr:uid="{00000000-0005-0000-0000-000065090000}"/>
    <cellStyle name="style 12" xfId="828" xr:uid="{00000000-0005-0000-0000-000066090000}"/>
    <cellStyle name="style 12 2" xfId="2823" xr:uid="{00000000-0005-0000-0000-000067090000}"/>
    <cellStyle name="style 12 2 2" xfId="3603" xr:uid="{00000000-0005-0000-0000-000068090000}"/>
    <cellStyle name="style 12 3" xfId="2850" xr:uid="{00000000-0005-0000-0000-000069090000}"/>
    <cellStyle name="style 12 4" xfId="3120" xr:uid="{00000000-0005-0000-0000-00006A090000}"/>
    <cellStyle name="style 13" xfId="2596" xr:uid="{00000000-0005-0000-0000-00006B090000}"/>
    <cellStyle name="style 13 2" xfId="3448" xr:uid="{00000000-0005-0000-0000-00006C090000}"/>
    <cellStyle name="style 14" xfId="2612" xr:uid="{00000000-0005-0000-0000-00006D090000}"/>
    <cellStyle name="style 14 2" xfId="3451" xr:uid="{00000000-0005-0000-0000-00006E090000}"/>
    <cellStyle name="style 15" xfId="2562" xr:uid="{00000000-0005-0000-0000-00006F090000}"/>
    <cellStyle name="style 16" xfId="2918" xr:uid="{00000000-0005-0000-0000-000070090000}"/>
    <cellStyle name="style 17" xfId="2973" xr:uid="{00000000-0005-0000-0000-000071090000}"/>
    <cellStyle name="style 18" xfId="2577" xr:uid="{00000000-0005-0000-0000-000072090000}"/>
    <cellStyle name="style 19" xfId="3278" xr:uid="{00000000-0005-0000-0000-000073090000}"/>
    <cellStyle name="Style 2" xfId="278" xr:uid="{00000000-0005-0000-0000-000074090000}"/>
    <cellStyle name="Style 3" xfId="279" xr:uid="{00000000-0005-0000-0000-000075090000}"/>
    <cellStyle name="style 4" xfId="460" xr:uid="{00000000-0005-0000-0000-000076090000}"/>
    <cellStyle name="style 4 2" xfId="709" xr:uid="{00000000-0005-0000-0000-000077090000}"/>
    <cellStyle name="style 4 2 2" xfId="2742" xr:uid="{00000000-0005-0000-0000-000078090000}"/>
    <cellStyle name="style 4 2 2 2" xfId="3535" xr:uid="{00000000-0005-0000-0000-000079090000}"/>
    <cellStyle name="style 4 2 3" xfId="3172" xr:uid="{00000000-0005-0000-0000-00007A090000}"/>
    <cellStyle name="style 4 2 4" xfId="2635" xr:uid="{00000000-0005-0000-0000-00007B090000}"/>
    <cellStyle name="style 4 3" xfId="2384" xr:uid="{00000000-0005-0000-0000-00007C090000}"/>
    <cellStyle name="style 4 3 2" xfId="2997" xr:uid="{00000000-0005-0000-0000-00007D090000}"/>
    <cellStyle name="style 4 3 2 2" xfId="3646" xr:uid="{00000000-0005-0000-0000-00007E090000}"/>
    <cellStyle name="style 4 3 3" xfId="2903" xr:uid="{00000000-0005-0000-0000-00007F090000}"/>
    <cellStyle name="style 4 3 4" xfId="2590" xr:uid="{00000000-0005-0000-0000-000080090000}"/>
    <cellStyle name="style 4 4" xfId="2633" xr:uid="{00000000-0005-0000-0000-000081090000}"/>
    <cellStyle name="style 4 4 2" xfId="3465" xr:uid="{00000000-0005-0000-0000-000082090000}"/>
    <cellStyle name="style 4 5" xfId="2935" xr:uid="{00000000-0005-0000-0000-000083090000}"/>
    <cellStyle name="style 4 6" xfId="3156" xr:uid="{00000000-0005-0000-0000-000084090000}"/>
    <cellStyle name="style 4 7" xfId="3288" xr:uid="{00000000-0005-0000-0000-000085090000}"/>
    <cellStyle name="style 5" xfId="524" xr:uid="{00000000-0005-0000-0000-000086090000}"/>
    <cellStyle name="style 5 2" xfId="750" xr:uid="{00000000-0005-0000-0000-000087090000}"/>
    <cellStyle name="style 5 2 2" xfId="2763" xr:uid="{00000000-0005-0000-0000-000088090000}"/>
    <cellStyle name="style 5 2 2 2" xfId="3553" xr:uid="{00000000-0005-0000-0000-000089090000}"/>
    <cellStyle name="style 5 2 3" xfId="3011" xr:uid="{00000000-0005-0000-0000-00008A090000}"/>
    <cellStyle name="style 5 2 4" xfId="2923" xr:uid="{00000000-0005-0000-0000-00008B090000}"/>
    <cellStyle name="style 5 3" xfId="2393" xr:uid="{00000000-0005-0000-0000-00008C090000}"/>
    <cellStyle name="style 5 3 2" xfId="3004" xr:uid="{00000000-0005-0000-0000-00008D090000}"/>
    <cellStyle name="style 5 3 2 2" xfId="3652" xr:uid="{00000000-0005-0000-0000-00008E090000}"/>
    <cellStyle name="style 5 3 3" xfId="3140" xr:uid="{00000000-0005-0000-0000-00008F090000}"/>
    <cellStyle name="style 5 3 4" xfId="3183" xr:uid="{00000000-0005-0000-0000-000090090000}"/>
    <cellStyle name="style 5 4" xfId="2660" xr:uid="{00000000-0005-0000-0000-000091090000}"/>
    <cellStyle name="style 5 4 2" xfId="3484" xr:uid="{00000000-0005-0000-0000-000092090000}"/>
    <cellStyle name="style 5 5" xfId="2589" xr:uid="{00000000-0005-0000-0000-000093090000}"/>
    <cellStyle name="style 5 6" xfId="2581" xr:uid="{00000000-0005-0000-0000-000094090000}"/>
    <cellStyle name="style 5 7" xfId="3302" xr:uid="{00000000-0005-0000-0000-000095090000}"/>
    <cellStyle name="style 6" xfId="630" xr:uid="{00000000-0005-0000-0000-000096090000}"/>
    <cellStyle name="style 6 2" xfId="771" xr:uid="{00000000-0005-0000-0000-000097090000}"/>
    <cellStyle name="style 6 2 2" xfId="2782" xr:uid="{00000000-0005-0000-0000-000098090000}"/>
    <cellStyle name="style 6 2 2 2" xfId="3569" xr:uid="{00000000-0005-0000-0000-000099090000}"/>
    <cellStyle name="style 6 2 3" xfId="2943" xr:uid="{00000000-0005-0000-0000-00009A090000}"/>
    <cellStyle name="style 6 2 4" xfId="3263" xr:uid="{00000000-0005-0000-0000-00009B090000}"/>
    <cellStyle name="style 6 3" xfId="2423" xr:uid="{00000000-0005-0000-0000-00009C090000}"/>
    <cellStyle name="style 6 3 2" xfId="3020" xr:uid="{00000000-0005-0000-0000-00009D090000}"/>
    <cellStyle name="style 6 3 2 2" xfId="3662" xr:uid="{00000000-0005-0000-0000-00009E090000}"/>
    <cellStyle name="style 6 3 3" xfId="3134" xr:uid="{00000000-0005-0000-0000-00009F090000}"/>
    <cellStyle name="style 6 3 4" xfId="2543" xr:uid="{00000000-0005-0000-0000-0000A0090000}"/>
    <cellStyle name="style 6 4" xfId="2695" xr:uid="{00000000-0005-0000-0000-0000A1090000}"/>
    <cellStyle name="style 6 4 2" xfId="3498" xr:uid="{00000000-0005-0000-0000-0000A2090000}"/>
    <cellStyle name="style 6 5" xfId="2582" xr:uid="{00000000-0005-0000-0000-0000A3090000}"/>
    <cellStyle name="style 6 6" xfId="2625" xr:uid="{00000000-0005-0000-0000-0000A4090000}"/>
    <cellStyle name="style 6 7" xfId="3310" xr:uid="{00000000-0005-0000-0000-0000A5090000}"/>
    <cellStyle name="style 7" xfId="622" xr:uid="{00000000-0005-0000-0000-0000A6090000}"/>
    <cellStyle name="style 7 2" xfId="763" xr:uid="{00000000-0005-0000-0000-0000A7090000}"/>
    <cellStyle name="style 7 2 2" xfId="2509" xr:uid="{00000000-0005-0000-0000-0000A8090000}"/>
    <cellStyle name="style 7 2 2 2" xfId="3101" xr:uid="{00000000-0005-0000-0000-0000A9090000}"/>
    <cellStyle name="style 7 2 2 2 2" xfId="3735" xr:uid="{00000000-0005-0000-0000-0000AA090000}"/>
    <cellStyle name="style 7 2 2 3" xfId="3231" xr:uid="{00000000-0005-0000-0000-0000AB090000}"/>
    <cellStyle name="style 7 2 2 4" xfId="3260" xr:uid="{00000000-0005-0000-0000-0000AC090000}"/>
    <cellStyle name="style 7 2 3" xfId="2774" xr:uid="{00000000-0005-0000-0000-0000AD090000}"/>
    <cellStyle name="style 7 2 3 2" xfId="3565" xr:uid="{00000000-0005-0000-0000-0000AE090000}"/>
    <cellStyle name="style 7 2 4" xfId="2863" xr:uid="{00000000-0005-0000-0000-0000AF090000}"/>
    <cellStyle name="style 7 2 5" xfId="3248" xr:uid="{00000000-0005-0000-0000-0000B0090000}"/>
    <cellStyle name="style 7 3" xfId="2415" xr:uid="{00000000-0005-0000-0000-0000B1090000}"/>
    <cellStyle name="style 7 3 2" xfId="3015" xr:uid="{00000000-0005-0000-0000-0000B2090000}"/>
    <cellStyle name="style 7 3 2 2" xfId="3658" xr:uid="{00000000-0005-0000-0000-0000B3090000}"/>
    <cellStyle name="style 7 3 3" xfId="3137" xr:uid="{00000000-0005-0000-0000-0000B4090000}"/>
    <cellStyle name="style 7 3 4" xfId="3146" xr:uid="{00000000-0005-0000-0000-0000B5090000}"/>
    <cellStyle name="style 7 4" xfId="2690" xr:uid="{00000000-0005-0000-0000-0000B6090000}"/>
    <cellStyle name="style 7 4 2" xfId="3494" xr:uid="{00000000-0005-0000-0000-0000B7090000}"/>
    <cellStyle name="style 7 5" xfId="2880" xr:uid="{00000000-0005-0000-0000-0000B8090000}"/>
    <cellStyle name="style 7 6" xfId="2848" xr:uid="{00000000-0005-0000-0000-0000B9090000}"/>
    <cellStyle name="style 8" xfId="678" xr:uid="{00000000-0005-0000-0000-0000BA090000}"/>
    <cellStyle name="style 8 2" xfId="2440" xr:uid="{00000000-0005-0000-0000-0000BB090000}"/>
    <cellStyle name="style 8 2 2" xfId="3036" xr:uid="{00000000-0005-0000-0000-0000BC090000}"/>
    <cellStyle name="style 8 2 2 2" xfId="3672" xr:uid="{00000000-0005-0000-0000-0000BD090000}"/>
    <cellStyle name="style 8 2 3" xfId="3181" xr:uid="{00000000-0005-0000-0000-0000BE090000}"/>
    <cellStyle name="style 8 2 4" xfId="3028" xr:uid="{00000000-0005-0000-0000-0000BF090000}"/>
    <cellStyle name="style 8 3" xfId="2727" xr:uid="{00000000-0005-0000-0000-0000C0090000}"/>
    <cellStyle name="style 8 3 2" xfId="3523" xr:uid="{00000000-0005-0000-0000-0000C1090000}"/>
    <cellStyle name="style 8 4" xfId="2875" xr:uid="{00000000-0005-0000-0000-0000C2090000}"/>
    <cellStyle name="style 8 5" xfId="2553" xr:uid="{00000000-0005-0000-0000-0000C3090000}"/>
    <cellStyle name="style 9" xfId="792" xr:uid="{00000000-0005-0000-0000-0000C4090000}"/>
    <cellStyle name="style 9 2" xfId="2441" xr:uid="{00000000-0005-0000-0000-0000C5090000}"/>
    <cellStyle name="style 9 2 2" xfId="3037" xr:uid="{00000000-0005-0000-0000-0000C6090000}"/>
    <cellStyle name="style 9 2 2 2" xfId="3673" xr:uid="{00000000-0005-0000-0000-0000C7090000}"/>
    <cellStyle name="style 9 2 3" xfId="2887" xr:uid="{00000000-0005-0000-0000-0000C8090000}"/>
    <cellStyle name="style 9 2 4" xfId="2908" xr:uid="{00000000-0005-0000-0000-0000C9090000}"/>
    <cellStyle name="style 9 3" xfId="2803" xr:uid="{00000000-0005-0000-0000-0000CA090000}"/>
    <cellStyle name="style 9 3 2" xfId="3590" xr:uid="{00000000-0005-0000-0000-0000CB090000}"/>
    <cellStyle name="style 9 4" xfId="3203" xr:uid="{00000000-0005-0000-0000-0000CC090000}"/>
    <cellStyle name="style 9 5" xfId="3214" xr:uid="{00000000-0005-0000-0000-0000CD090000}"/>
    <cellStyle name="style1" xfId="280" xr:uid="{00000000-0005-0000-0000-0000CE090000}"/>
    <cellStyle name="style2" xfId="281" xr:uid="{00000000-0005-0000-0000-0000CF090000}"/>
    <cellStyle name="subhead" xfId="282" xr:uid="{00000000-0005-0000-0000-0000D0090000}"/>
    <cellStyle name="Subtotal" xfId="283" xr:uid="{00000000-0005-0000-0000-0000D1090000}"/>
    <cellStyle name="Summa" xfId="2198" xr:uid="{00000000-0005-0000-0000-0000D2090000}"/>
    <cellStyle name="Summa 2" xfId="2457" xr:uid="{00000000-0005-0000-0000-0000D3090000}"/>
    <cellStyle name="Summa 2 2" xfId="3689" xr:uid="{00000000-0005-0000-0000-0000D4090000}"/>
    <cellStyle name="Summa 2 3" xfId="3401" xr:uid="{00000000-0005-0000-0000-0000D5090000}"/>
    <cellStyle name="Summa 2 3 2" xfId="3812" xr:uid="{00000000-0005-0000-0000-0000D6090000}"/>
    <cellStyle name="t]_x000d__x000a_color schemes=默认 Windows_x000d__x000a__x000d__x000a_[color schemes]_x000d__x000a_Arizona=804000,FFFFFF,FFFFFF,0,FFFFFF,0,808040,C0C0C0,FFFFF" xfId="284" xr:uid="{00000000-0005-0000-0000-0000D7090000}"/>
    <cellStyle name="Tal" xfId="2199" xr:uid="{00000000-0005-0000-0000-0000D8090000}"/>
    <cellStyle name="Text" xfId="2200" xr:uid="{00000000-0005-0000-0000-0000D9090000}"/>
    <cellStyle name="Text Indent A" xfId="285" xr:uid="{00000000-0005-0000-0000-0000DA090000}"/>
    <cellStyle name="Text Indent B" xfId="286" xr:uid="{00000000-0005-0000-0000-0000DB090000}"/>
    <cellStyle name="Text Indent C" xfId="287" xr:uid="{00000000-0005-0000-0000-0000DC090000}"/>
    <cellStyle name="Textrubrik" xfId="2201" xr:uid="{00000000-0005-0000-0000-0000DD090000}"/>
    <cellStyle name="thick" xfId="2202" xr:uid="{00000000-0005-0000-0000-0000DE090000}"/>
    <cellStyle name="Tickmark" xfId="288" xr:uid="{00000000-0005-0000-0000-0000DF090000}"/>
    <cellStyle name="Times New Roman" xfId="2203" xr:uid="{00000000-0005-0000-0000-0000E0090000}"/>
    <cellStyle name="Title 2" xfId="2204" xr:uid="{00000000-0005-0000-0000-0000E1090000}"/>
    <cellStyle name="Total 2" xfId="2205" xr:uid="{00000000-0005-0000-0000-0000E2090000}"/>
    <cellStyle name="Tusental (0)_encl-13" xfId="2206" xr:uid="{00000000-0005-0000-0000-0000E3090000}"/>
    <cellStyle name="Tusental_1-KLASS" xfId="2207" xr:uid="{00000000-0005-0000-0000-0000E4090000}"/>
    <cellStyle name="Undefiniert" xfId="289" xr:uid="{00000000-0005-0000-0000-0000E5090000}"/>
    <cellStyle name="v" xfId="2208" xr:uid="{00000000-0005-0000-0000-0000E6090000}"/>
    <cellStyle name="Valuta (0)_encl-13" xfId="2209" xr:uid="{00000000-0005-0000-0000-0000E7090000}"/>
    <cellStyle name="Valuta [0]_RESULTS" xfId="290" xr:uid="{00000000-0005-0000-0000-0000E8090000}"/>
    <cellStyle name="Valuta_1-KLASS" xfId="2210" xr:uid="{00000000-0005-0000-0000-0000E9090000}"/>
    <cellStyle name="Währung [0]_AB_20neu" xfId="2211" xr:uid="{00000000-0005-0000-0000-0000EA090000}"/>
    <cellStyle name="Wahrung [0]_RESULTS" xfId="291" xr:uid="{00000000-0005-0000-0000-0000EB090000}"/>
    <cellStyle name="Währung_AB_20neu" xfId="2212" xr:uid="{00000000-0005-0000-0000-0000EC090000}"/>
    <cellStyle name="Wahrung_RESULTS" xfId="292" xr:uid="{00000000-0005-0000-0000-0000ED090000}"/>
    <cellStyle name="Warning Text 2" xfId="2213" xr:uid="{00000000-0005-0000-0000-0000EE090000}"/>
    <cellStyle name="wrap" xfId="293" xr:uid="{00000000-0005-0000-0000-0000EF090000}"/>
    <cellStyle name="パーセント_laroux" xfId="294" xr:uid="{00000000-0005-0000-0000-0000F0090000}"/>
    <cellStyle name="_11011" xfId="2341" xr:uid="{00000000-0005-0000-0000-0000F1090000}"/>
    <cellStyle name="瘉EMMC-CP1" xfId="2340" xr:uid="{00000000-0005-0000-0000-0000F2090000}"/>
    <cellStyle name="? [0.00]_guyan" xfId="2342" xr:uid="{00000000-0005-0000-0000-0000F3090000}"/>
    <cellStyle name="?_guyan" xfId="2343" xr:uid="{00000000-0005-0000-0000-0000F4090000}"/>
    <cellStyle name="_Total (2)" xfId="295" xr:uid="{00000000-0005-0000-0000-0000F5090000}"/>
    <cellStyle name="だ[0]_BS9701-3" xfId="2344" xr:uid="{00000000-0005-0000-0000-0000F6090000}"/>
    <cellStyle name="だ_BS9701-3" xfId="2345" xr:uid="{00000000-0005-0000-0000-0000F7090000}"/>
    <cellStyle name="だ[0]_Total (2)" xfId="296" xr:uid="{00000000-0005-0000-0000-0000F8090000}"/>
    <cellStyle name="だ_Total (2)" xfId="297" xr:uid="{00000000-0005-0000-0000-0000F9090000}"/>
    <cellStyle name="む|靃0]_Revenuesy Lr L" xfId="298" xr:uid="{00000000-0005-0000-0000-0000FA090000}"/>
    <cellStyle name="む|靇Revenuenuesy L" xfId="299" xr:uid="{00000000-0005-0000-0000-0000FB090000}"/>
    <cellStyle name="む|靇Revenuenuesy L 2" xfId="525" xr:uid="{00000000-0005-0000-0000-0000FC090000}"/>
    <cellStyle name="む|靇Revenuenuesy L 2 2" xfId="751" xr:uid="{00000000-0005-0000-0000-0000FD090000}"/>
    <cellStyle name="む|靇Revenuenuesy L 2 2 2" xfId="2764" xr:uid="{00000000-0005-0000-0000-0000FE090000}"/>
    <cellStyle name="む|靇Revenuenuesy L 2 2 2 2" xfId="3554" xr:uid="{00000000-0005-0000-0000-0000FF090000}"/>
    <cellStyle name="む|靇Revenuenuesy L 2 2 3" xfId="3342" xr:uid="{00000000-0005-0000-0000-0000000A0000}"/>
    <cellStyle name="む|靇Revenuenuesy L 2 3" xfId="2661" xr:uid="{00000000-0005-0000-0000-0000010A0000}"/>
    <cellStyle name="む|靇Revenuenuesy L 2 3 2" xfId="3485" xr:uid="{00000000-0005-0000-0000-0000020A0000}"/>
    <cellStyle name="む|靇Revenuenuesy L 2 4" xfId="3303" xr:uid="{00000000-0005-0000-0000-0000030A0000}"/>
    <cellStyle name="む|靇Revenuenuesy L 3" xfId="679" xr:uid="{00000000-0005-0000-0000-0000040A0000}"/>
    <cellStyle name="む|靇Revenuenuesy L 3 2" xfId="2483" xr:uid="{00000000-0005-0000-0000-0000050A0000}"/>
    <cellStyle name="む|靇Revenuenuesy L 3 2 2" xfId="3076" xr:uid="{00000000-0005-0000-0000-0000060A0000}"/>
    <cellStyle name="む|靇Revenuenuesy L 3 2 2 2" xfId="3712" xr:uid="{00000000-0005-0000-0000-0000070A0000}"/>
    <cellStyle name="む|靇Revenuenuesy L 3 2 3" xfId="3417" xr:uid="{00000000-0005-0000-0000-0000080A0000}"/>
    <cellStyle name="む|靇Revenuenuesy L 3 3" xfId="2728" xr:uid="{00000000-0005-0000-0000-0000090A0000}"/>
    <cellStyle name="む|靇Revenuenuesy L 3 3 2" xfId="3524" xr:uid="{00000000-0005-0000-0000-00000A0A0000}"/>
    <cellStyle name="む|靇Revenuenuesy L 3 4" xfId="3324" xr:uid="{00000000-0005-0000-0000-00000B0A0000}"/>
    <cellStyle name="む|靇Revenuenuesy L 4" xfId="793" xr:uid="{00000000-0005-0000-0000-00000C0A0000}"/>
    <cellStyle name="む|靇Revenuenuesy L 4 2" xfId="2804" xr:uid="{00000000-0005-0000-0000-00000D0A0000}"/>
    <cellStyle name="む|靇Revenuenuesy L 4 2 2" xfId="3591" xr:uid="{00000000-0005-0000-0000-00000E0A0000}"/>
    <cellStyle name="む|靇Revenuenuesy L 4 3" xfId="3359" xr:uid="{00000000-0005-0000-0000-00000F0A0000}"/>
    <cellStyle name="む|靇Revenuenuesy L 5" xfId="2601" xr:uid="{00000000-0005-0000-0000-0000100A0000}"/>
    <cellStyle name="む|靇Revenuenuesy L 5 2" xfId="3450" xr:uid="{00000000-0005-0000-0000-0000110A0000}"/>
    <cellStyle name="む|靇Revenuenuesy L 6" xfId="3279" xr:uid="{00000000-0005-0000-0000-0000120A0000}"/>
    <cellStyle name="む|靇Revenuenuesy L 7" xfId="403" xr:uid="{00000000-0005-0000-0000-0000130A0000}"/>
    <cellStyle name="?_Fem.Pro" xfId="2346" xr:uid="{00000000-0005-0000-0000-0000140A0000}"/>
    <cellStyle name="籵_96SNPCOS" xfId="2347" xr:uid="{00000000-0005-0000-0000-0000150A0000}"/>
    <cellStyle name="弇[0]_DF1" xfId="2348" xr:uid="{00000000-0005-0000-0000-0000160A0000}"/>
    <cellStyle name="弇_DF1" xfId="2349" xr:uid="{00000000-0005-0000-0000-0000170A0000}"/>
    <cellStyle name="弇煦路[0]_1" xfId="2350" xr:uid="{00000000-0005-0000-0000-0000180A0000}"/>
    <cellStyle name="弇煦路_1" xfId="2351" xr:uid="{00000000-0005-0000-0000-0000190A0000}"/>
    <cellStyle name="煦弇[0]_96.12(彶劃)" xfId="2352" xr:uid="{00000000-0005-0000-0000-00001A0A0000}"/>
    <cellStyle name="煦弇_96.12(彶劃)" xfId="2353" xr:uid="{00000000-0005-0000-0000-00001B0A0000}"/>
    <cellStyle name="콤마 [0]_1.24분기 평가표 " xfId="336" xr:uid="{00000000-0005-0000-0000-0000E10E0000}"/>
    <cellStyle name="콤마_1.24분기 평가표 " xfId="337" xr:uid="{00000000-0005-0000-0000-0000E20E0000}"/>
    <cellStyle name="통화 [0]_1.24분기 평가표 " xfId="338" xr:uid="{00000000-0005-0000-0000-0000E30E0000}"/>
    <cellStyle name="통화_1.24분기 평가표 " xfId="339" xr:uid="{00000000-0005-0000-0000-0000E40E0000}"/>
    <cellStyle name="표준_(업무)평가단" xfId="340" xr:uid="{00000000-0005-0000-0000-0000E50E0000}"/>
    <cellStyle name="一般 10" xfId="2214" xr:uid="{00000000-0005-0000-0000-00001C0A0000}"/>
    <cellStyle name="一般 11" xfId="2215" xr:uid="{00000000-0005-0000-0000-00001D0A0000}"/>
    <cellStyle name="一般 12" xfId="494" xr:uid="{00000000-0005-0000-0000-00001E0A0000}"/>
    <cellStyle name="一般 12 2" xfId="2363" xr:uid="{00000000-0005-0000-0000-00001F0A0000}"/>
    <cellStyle name="一般 12 3" xfId="2216" xr:uid="{00000000-0005-0000-0000-0000200A0000}"/>
    <cellStyle name="一般 13" xfId="2217" xr:uid="{00000000-0005-0000-0000-0000210A0000}"/>
    <cellStyle name="一般 14" xfId="2218" xr:uid="{00000000-0005-0000-0000-0000220A0000}"/>
    <cellStyle name="一般 15" xfId="850" xr:uid="{00000000-0005-0000-0000-0000230A0000}"/>
    <cellStyle name="一般 16" xfId="849" xr:uid="{00000000-0005-0000-0000-0000240A0000}"/>
    <cellStyle name="一般 17" xfId="2356" xr:uid="{00000000-0005-0000-0000-0000250A0000}"/>
    <cellStyle name="一般 18" xfId="3267" xr:uid="{00000000-0005-0000-0000-0000260A0000}"/>
    <cellStyle name="一般 2" xfId="300" xr:uid="{00000000-0005-0000-0000-0000270A0000}"/>
    <cellStyle name="一般 2 2" xfId="301" xr:uid="{00000000-0005-0000-0000-0000280A0000}"/>
    <cellStyle name="一般 2 2 2" xfId="462" xr:uid="{00000000-0005-0000-0000-0000290A0000}"/>
    <cellStyle name="一般 2 2 2 2" xfId="711" xr:uid="{00000000-0005-0000-0000-00002A0A0000}"/>
    <cellStyle name="一般 2 2 2 3" xfId="812" xr:uid="{00000000-0005-0000-0000-00002B0A0000}"/>
    <cellStyle name="一般 2 2 2 4" xfId="2220" xr:uid="{00000000-0005-0000-0000-00002C0A0000}"/>
    <cellStyle name="一般 2 2 3" xfId="527" xr:uid="{00000000-0005-0000-0000-00002D0A0000}"/>
    <cellStyle name="一般 2 2 4" xfId="405" xr:uid="{00000000-0005-0000-0000-00002E0A0000}"/>
    <cellStyle name="一般 2 3" xfId="461" xr:uid="{00000000-0005-0000-0000-00002F0A0000}"/>
    <cellStyle name="一般 2 3 2" xfId="710" xr:uid="{00000000-0005-0000-0000-0000300A0000}"/>
    <cellStyle name="一般 2 3 3" xfId="809" xr:uid="{00000000-0005-0000-0000-0000310A0000}"/>
    <cellStyle name="一般 2 3 4" xfId="2221" xr:uid="{00000000-0005-0000-0000-0000320A0000}"/>
    <cellStyle name="一般 2 4" xfId="526" xr:uid="{00000000-0005-0000-0000-0000330A0000}"/>
    <cellStyle name="一般 2 4 2" xfId="356" xr:uid="{00000000-0005-0000-0000-0000340A0000}"/>
    <cellStyle name="一般 2 4 2 2" xfId="2394" xr:uid="{00000000-0005-0000-0000-0000350A0000}"/>
    <cellStyle name="一般 2 4 3" xfId="2222" xr:uid="{00000000-0005-0000-0000-0000360A0000}"/>
    <cellStyle name="一般 2 5" xfId="531" xr:uid="{00000000-0005-0000-0000-0000370A0000}"/>
    <cellStyle name="一般 2 5 2" xfId="2395" xr:uid="{00000000-0005-0000-0000-0000380A0000}"/>
    <cellStyle name="一般 2 5 3" xfId="2223" xr:uid="{00000000-0005-0000-0000-0000390A0000}"/>
    <cellStyle name="一般 2 6" xfId="657" xr:uid="{00000000-0005-0000-0000-00003A0A0000}"/>
    <cellStyle name="一般 2 6 2" xfId="2431" xr:uid="{00000000-0005-0000-0000-00003B0A0000}"/>
    <cellStyle name="一般 2 6 3" xfId="2219" xr:uid="{00000000-0005-0000-0000-00003C0A0000}"/>
    <cellStyle name="一般 2 7" xfId="836" xr:uid="{00000000-0005-0000-0000-00003D0A0000}"/>
    <cellStyle name="一般 2 8" xfId="404" xr:uid="{00000000-0005-0000-0000-00003E0A0000}"/>
    <cellStyle name="一般 2_AW_WEC_2011_jdsaff" xfId="2224" xr:uid="{00000000-0005-0000-0000-00003F0A0000}"/>
    <cellStyle name="一般 28" xfId="360" xr:uid="{00000000-0005-0000-0000-0000400A0000}"/>
    <cellStyle name="一般 3" xfId="362" xr:uid="{00000000-0005-0000-0000-0000410A0000}"/>
    <cellStyle name="一般 3 10" xfId="3291" xr:uid="{00000000-0005-0000-0000-0000420A0000}"/>
    <cellStyle name="一般 3 11" xfId="491" xr:uid="{00000000-0005-0000-0000-0000430A0000}"/>
    <cellStyle name="一般 3 2" xfId="556" xr:uid="{00000000-0005-0000-0000-0000440A0000}"/>
    <cellStyle name="一般 3 2 2" xfId="2226" xr:uid="{00000000-0005-0000-0000-0000450A0000}"/>
    <cellStyle name="一般 3 2 3" xfId="2399" xr:uid="{00000000-0005-0000-0000-0000460A0000}"/>
    <cellStyle name="一般 3 2 4" xfId="844" xr:uid="{00000000-0005-0000-0000-0000470A0000}"/>
    <cellStyle name="一般 3 2 5" xfId="2527" xr:uid="{00000000-0005-0000-0000-0000480A0000}"/>
    <cellStyle name="一般 3 2 5 2" xfId="3115" xr:uid="{00000000-0005-0000-0000-0000490A0000}"/>
    <cellStyle name="一般 3 2 5 2 2" xfId="3749" xr:uid="{00000000-0005-0000-0000-00004A0A0000}"/>
    <cellStyle name="一般 3 2 5 3" xfId="3438" xr:uid="{00000000-0005-0000-0000-00004B0A0000}"/>
    <cellStyle name="一般 3 3" xfId="644" xr:uid="{00000000-0005-0000-0000-00004C0A0000}"/>
    <cellStyle name="一般 3 3 2" xfId="2427" xr:uid="{00000000-0005-0000-0000-00004D0A0000}"/>
    <cellStyle name="一般 3 3 3" xfId="2225" xr:uid="{00000000-0005-0000-0000-00004E0A0000}"/>
    <cellStyle name="一般 3 4" xfId="658" xr:uid="{00000000-0005-0000-0000-00004F0A0000}"/>
    <cellStyle name="一般 3 4 2" xfId="2432" xr:uid="{00000000-0005-0000-0000-0000500A0000}"/>
    <cellStyle name="一般 3 4 3" xfId="2470" xr:uid="{00000000-0005-0000-0000-0000510A0000}"/>
    <cellStyle name="一般 3 4 3 2" xfId="3064" xr:uid="{00000000-0005-0000-0000-0000520A0000}"/>
    <cellStyle name="一般 3 4 3 2 2" xfId="3701" xr:uid="{00000000-0005-0000-0000-0000530A0000}"/>
    <cellStyle name="一般 3 4 3 3" xfId="3408" xr:uid="{00000000-0005-0000-0000-0000540A0000}"/>
    <cellStyle name="一般 3 4 4" xfId="2360" xr:uid="{00000000-0005-0000-0000-0000550A0000}"/>
    <cellStyle name="一般 3 4 4 2" xfId="2979" xr:uid="{00000000-0005-0000-0000-0000560A0000}"/>
    <cellStyle name="一般 3 4 4 2 2" xfId="3630" xr:uid="{00000000-0005-0000-0000-0000570A0000}"/>
    <cellStyle name="一般 3 4 4 3" xfId="3376" xr:uid="{00000000-0005-0000-0000-0000580A0000}"/>
    <cellStyle name="一般 3 5" xfId="739" xr:uid="{00000000-0005-0000-0000-0000590A0000}"/>
    <cellStyle name="一般 3 5 2" xfId="2495" xr:uid="{00000000-0005-0000-0000-00005A0A0000}"/>
    <cellStyle name="一般 3 5 2 2" xfId="3088" xr:uid="{00000000-0005-0000-0000-00005B0A0000}"/>
    <cellStyle name="一般 3 5 2 2 2" xfId="3723" xr:uid="{00000000-0005-0000-0000-00005C0A0000}"/>
    <cellStyle name="一般 3 5 2 3" xfId="3422" xr:uid="{00000000-0005-0000-0000-00005D0A0000}"/>
    <cellStyle name="一般 3 5 3" xfId="2388" xr:uid="{00000000-0005-0000-0000-00005E0A0000}"/>
    <cellStyle name="一般 3 5 3 2" xfId="3000" xr:uid="{00000000-0005-0000-0000-00005F0A0000}"/>
    <cellStyle name="一般 3 5 3 2 2" xfId="3649" xr:uid="{00000000-0005-0000-0000-0000600A0000}"/>
    <cellStyle name="一般 3 5 3 3" xfId="3384" xr:uid="{00000000-0005-0000-0000-0000610A0000}"/>
    <cellStyle name="一般 3 5 4" xfId="2752" xr:uid="{00000000-0005-0000-0000-0000620A0000}"/>
    <cellStyle name="一般 3 5 4 2" xfId="3542" xr:uid="{00000000-0005-0000-0000-0000630A0000}"/>
    <cellStyle name="一般 3 5 5" xfId="3331" xr:uid="{00000000-0005-0000-0000-0000640A0000}"/>
    <cellStyle name="一般 3 6" xfId="495" xr:uid="{00000000-0005-0000-0000-0000650A0000}"/>
    <cellStyle name="一般 3 7" xfId="803" xr:uid="{00000000-0005-0000-0000-0000660A0000}"/>
    <cellStyle name="一般 3 8" xfId="838" xr:uid="{00000000-0005-0000-0000-0000670A0000}"/>
    <cellStyle name="一般 3 9" xfId="2646" xr:uid="{00000000-0005-0000-0000-0000680A0000}"/>
    <cellStyle name="一般 3 9 2" xfId="3473" xr:uid="{00000000-0005-0000-0000-0000690A0000}"/>
    <cellStyle name="一般 3_A-I001-091231" xfId="2227" xr:uid="{00000000-0005-0000-0000-00006A0A0000}"/>
    <cellStyle name="一般 31" xfId="496" xr:uid="{00000000-0005-0000-0000-00006B0A0000}"/>
    <cellStyle name="一般 4" xfId="364" xr:uid="{00000000-0005-0000-0000-00006C0A0000}"/>
    <cellStyle name="一般 4 2" xfId="589" xr:uid="{00000000-0005-0000-0000-00006D0A0000}"/>
    <cellStyle name="一般 4 2 2" xfId="2229" xr:uid="{00000000-0005-0000-0000-00006E0A0000}"/>
    <cellStyle name="一般 4 2 3" xfId="2410" xr:uid="{00000000-0005-0000-0000-00006F0A0000}"/>
    <cellStyle name="一般 4 2 4" xfId="845" xr:uid="{00000000-0005-0000-0000-0000700A0000}"/>
    <cellStyle name="一般 4 3" xfId="602" xr:uid="{00000000-0005-0000-0000-0000710A0000}"/>
    <cellStyle name="一般 4 3 2" xfId="2413" xr:uid="{00000000-0005-0000-0000-0000720A0000}"/>
    <cellStyle name="一般 4 3 3" xfId="2228" xr:uid="{00000000-0005-0000-0000-0000730A0000}"/>
    <cellStyle name="一般 4 4" xfId="611" xr:uid="{00000000-0005-0000-0000-0000740A0000}"/>
    <cellStyle name="一般 4 5" xfId="559" xr:uid="{00000000-0005-0000-0000-0000750A0000}"/>
    <cellStyle name="一般 4 6" xfId="649" xr:uid="{00000000-0005-0000-0000-0000760A0000}"/>
    <cellStyle name="一般 4 7" xfId="2387" xr:uid="{00000000-0005-0000-0000-0000770A0000}"/>
    <cellStyle name="一般 4 8" xfId="839" xr:uid="{00000000-0005-0000-0000-0000780A0000}"/>
    <cellStyle name="一般 4 9" xfId="489" xr:uid="{00000000-0005-0000-0000-0000790A0000}"/>
    <cellStyle name="一般 5" xfId="566" xr:uid="{00000000-0005-0000-0000-00007A0A0000}"/>
    <cellStyle name="一般 5 2" xfId="846" xr:uid="{00000000-0005-0000-0000-00007B0A0000}"/>
    <cellStyle name="一般 5 2 2" xfId="2230" xr:uid="{00000000-0005-0000-0000-00007C0A0000}"/>
    <cellStyle name="一般 5 3" xfId="2401" xr:uid="{00000000-0005-0000-0000-00007D0A0000}"/>
    <cellStyle name="一般 5 4" xfId="840" xr:uid="{00000000-0005-0000-0000-00007E0A0000}"/>
    <cellStyle name="一般 6" xfId="574" xr:uid="{00000000-0005-0000-0000-00007F0A0000}"/>
    <cellStyle name="一般 6 2" xfId="760" xr:uid="{00000000-0005-0000-0000-0000800A0000}"/>
    <cellStyle name="一般 6 2 2" xfId="2231" xr:uid="{00000000-0005-0000-0000-0000810A0000}"/>
    <cellStyle name="一般 6 2 3" xfId="847" xr:uid="{00000000-0005-0000-0000-0000820A0000}"/>
    <cellStyle name="一般 6 2 4" xfId="2771" xr:uid="{00000000-0005-0000-0000-0000830A0000}"/>
    <cellStyle name="一般 6 2 4 2" xfId="3562" xr:uid="{00000000-0005-0000-0000-0000840A0000}"/>
    <cellStyle name="一般 6 2 5" xfId="3347" xr:uid="{00000000-0005-0000-0000-0000850A0000}"/>
    <cellStyle name="一般 6 3" xfId="2403" xr:uid="{00000000-0005-0000-0000-0000860A0000}"/>
    <cellStyle name="一般 6 3 2" xfId="2505" xr:uid="{00000000-0005-0000-0000-0000870A0000}"/>
    <cellStyle name="一般 6 3 2 2" xfId="3097" xr:uid="{00000000-0005-0000-0000-0000880A0000}"/>
    <cellStyle name="一般 6 3 2 2 2" xfId="3731" xr:uid="{00000000-0005-0000-0000-0000890A0000}"/>
    <cellStyle name="一般 6 3 2 3" xfId="3430" xr:uid="{00000000-0005-0000-0000-00008A0A0000}"/>
    <cellStyle name="一般 6 3 3" xfId="3009" xr:uid="{00000000-0005-0000-0000-00008B0A0000}"/>
    <cellStyle name="一般 6 3 3 2" xfId="3655" xr:uid="{00000000-0005-0000-0000-00008C0A0000}"/>
    <cellStyle name="一般 6 3 4" xfId="3388" xr:uid="{00000000-0005-0000-0000-00008D0A0000}"/>
    <cellStyle name="一般 6 4" xfId="841" xr:uid="{00000000-0005-0000-0000-00008E0A0000}"/>
    <cellStyle name="一般 6 5" xfId="2681" xr:uid="{00000000-0005-0000-0000-00008F0A0000}"/>
    <cellStyle name="一般 6 5 2" xfId="3490" xr:uid="{00000000-0005-0000-0000-0000900A0000}"/>
    <cellStyle name="一般 6 6" xfId="3307" xr:uid="{00000000-0005-0000-0000-0000910A0000}"/>
    <cellStyle name="一般 7" xfId="554" xr:uid="{00000000-0005-0000-0000-0000920A0000}"/>
    <cellStyle name="一般 7 2" xfId="2232" xr:uid="{00000000-0005-0000-0000-0000930A0000}"/>
    <cellStyle name="一般 7 3" xfId="2398" xr:uid="{00000000-0005-0000-0000-0000940A0000}"/>
    <cellStyle name="一般 7 4" xfId="842" xr:uid="{00000000-0005-0000-0000-0000950A0000}"/>
    <cellStyle name="一般 8" xfId="2233" xr:uid="{00000000-0005-0000-0000-0000960A0000}"/>
    <cellStyle name="一般 8 2" xfId="2525" xr:uid="{00000000-0005-0000-0000-0000970A0000}"/>
    <cellStyle name="一般 9" xfId="2234" xr:uid="{00000000-0005-0000-0000-0000980A0000}"/>
    <cellStyle name="一般_1501" xfId="302" xr:uid="{00000000-0005-0000-0000-0000990A0000}"/>
    <cellStyle name="僴僀僷乕儕儞僋" xfId="2316" xr:uid="{00000000-0005-0000-0000-0000B30E0000}"/>
    <cellStyle name="億啟[0]_1" xfId="2281" xr:uid="{00000000-0005-0000-0000-0000B60E0000}"/>
    <cellStyle name="億啟_1" xfId="2282" xr:uid="{00000000-0005-0000-0000-0000B70E0000}"/>
    <cellStyle name="分级显示行_1_2002年度报表格式_集团公司" xfId="308" xr:uid="{00000000-0005-0000-0000-0000E40B0000}"/>
    <cellStyle name="千位[0]_ 应交税金审定表" xfId="306" xr:uid="{00000000-0005-0000-0000-0000C80B0000}"/>
    <cellStyle name="千位_ 应交税金审定表" xfId="307" xr:uid="{00000000-0005-0000-0000-0000C90B0000}"/>
    <cellStyle name="千位分隔 2" xfId="577" xr:uid="{00000000-0005-0000-0000-0000CA0B0000}"/>
    <cellStyle name="千位分隔 2 2" xfId="799" xr:uid="{00000000-0005-0000-0000-0000CB0B0000}"/>
    <cellStyle name="千位分隔 2 2 2" xfId="2406" xr:uid="{00000000-0005-0000-0000-0000CC0B0000}"/>
    <cellStyle name="千位分隔 2 3" xfId="2447" xr:uid="{00000000-0005-0000-0000-0000CD0B0000}"/>
    <cellStyle name="千位分隔 2 3 2" xfId="3043" xr:uid="{00000000-0005-0000-0000-0000CE0B0000}"/>
    <cellStyle name="千位分隔 2 3 2 2" xfId="3679" xr:uid="{00000000-0005-0000-0000-0000CF0B0000}"/>
    <cellStyle name="千位分隔 2 3 3" xfId="3397" xr:uid="{00000000-0005-0000-0000-0000D00B0000}"/>
    <cellStyle name="千位分隔 2 4" xfId="843" xr:uid="{00000000-0005-0000-0000-0000D10B0000}"/>
    <cellStyle name="千位分隔 2 4 2" xfId="2831" xr:uid="{00000000-0005-0000-0000-0000D20B0000}"/>
    <cellStyle name="千位分隔 2 4 2 2" xfId="3610" xr:uid="{00000000-0005-0000-0000-0000D30B0000}"/>
    <cellStyle name="千位分隔 2 4 3" xfId="3368" xr:uid="{00000000-0005-0000-0000-0000D40B0000}"/>
    <cellStyle name="千位分隔 3" xfId="570" xr:uid="{00000000-0005-0000-0000-0000D50B0000}"/>
    <cellStyle name="千位分隔 3 2" xfId="565" xr:uid="{00000000-0005-0000-0000-0000D60B0000}"/>
    <cellStyle name="千位分隔 3 2 2" xfId="592" xr:uid="{00000000-0005-0000-0000-0000D70B0000}"/>
    <cellStyle name="千位分隔 3 2 3" xfId="605" xr:uid="{00000000-0005-0000-0000-0000D80B0000}"/>
    <cellStyle name="千位分隔 3 2 4" xfId="614" xr:uid="{00000000-0005-0000-0000-0000D90B0000}"/>
    <cellStyle name="千位分隔 3 3" xfId="594" xr:uid="{00000000-0005-0000-0000-0000DA0B0000}"/>
    <cellStyle name="千位分隔 3 4" xfId="607" xr:uid="{00000000-0005-0000-0000-0000DB0B0000}"/>
    <cellStyle name="千位分隔 3 5" xfId="616" xr:uid="{00000000-0005-0000-0000-0000DC0B0000}"/>
    <cellStyle name="千位分隔 3 6" xfId="620" xr:uid="{00000000-0005-0000-0000-0000DD0B0000}"/>
    <cellStyle name="千位分隔 4" xfId="580" xr:uid="{00000000-0005-0000-0000-0000DE0B0000}"/>
    <cellStyle name="千位分隔 5" xfId="582" xr:uid="{00000000-0005-0000-0000-0000DF0B0000}"/>
    <cellStyle name="千位分隔 6" xfId="600" xr:uid="{00000000-0005-0000-0000-0000E00B0000}"/>
    <cellStyle name="千位分隔 7" xfId="618" xr:uid="{00000000-0005-0000-0000-0000E10B0000}"/>
    <cellStyle name="千位分隔[0]_北京物流06预审底稿-sfy" xfId="631" xr:uid="{00000000-0005-0000-0000-0000E20B0000}"/>
    <cellStyle name="千位分隔_2002-NS15B" xfId="632" xr:uid="{00000000-0005-0000-0000-0000E30B0000}"/>
    <cellStyle name="千分位 [0]" xfId="2235" xr:uid="{00000000-0005-0000-0000-00009A0A0000}"/>
    <cellStyle name="千分位 10" xfId="2236" xr:uid="{00000000-0005-0000-0000-00009B0A0000}"/>
    <cellStyle name="千分位 11" xfId="2237" xr:uid="{00000000-0005-0000-0000-00009C0A0000}"/>
    <cellStyle name="千分位 11 2" xfId="2458" xr:uid="{00000000-0005-0000-0000-00009D0A0000}"/>
    <cellStyle name="千分位 11 2 2" xfId="3052" xr:uid="{00000000-0005-0000-0000-00009E0A0000}"/>
    <cellStyle name="千分位 11 2 2 2" xfId="3690" xr:uid="{00000000-0005-0000-0000-00009F0A0000}"/>
    <cellStyle name="千分位 11 2 3" xfId="3402" xr:uid="{00000000-0005-0000-0000-0000A00A0000}"/>
    <cellStyle name="千分位 11 3" xfId="2944" xr:uid="{00000000-0005-0000-0000-0000A10A0000}"/>
    <cellStyle name="千分位 11 3 2" xfId="3618" xr:uid="{00000000-0005-0000-0000-0000A20A0000}"/>
    <cellStyle name="千分位 11 4" xfId="3369" xr:uid="{00000000-0005-0000-0000-0000A30A0000}"/>
    <cellStyle name="千分位 12" xfId="2238" xr:uid="{00000000-0005-0000-0000-0000A40A0000}"/>
    <cellStyle name="千分位 12 2" xfId="2459" xr:uid="{00000000-0005-0000-0000-0000A50A0000}"/>
    <cellStyle name="千分位 12 2 2" xfId="3053" xr:uid="{00000000-0005-0000-0000-0000A60A0000}"/>
    <cellStyle name="千分位 12 2 2 2" xfId="3691" xr:uid="{00000000-0005-0000-0000-0000A70A0000}"/>
    <cellStyle name="千分位 12 2 3" xfId="3403" xr:uid="{00000000-0005-0000-0000-0000A80A0000}"/>
    <cellStyle name="千分位 12 3" xfId="2945" xr:uid="{00000000-0005-0000-0000-0000A90A0000}"/>
    <cellStyle name="千分位 12 3 2" xfId="3619" xr:uid="{00000000-0005-0000-0000-0000AA0A0000}"/>
    <cellStyle name="千分位 12 4" xfId="3370" xr:uid="{00000000-0005-0000-0000-0000AB0A0000}"/>
    <cellStyle name="千分位 13" xfId="807" xr:uid="{00000000-0005-0000-0000-0000AC0A0000}"/>
    <cellStyle name="千分位 13 2" xfId="848" xr:uid="{00000000-0005-0000-0000-0000AD0A0000}"/>
    <cellStyle name="千分位 14" xfId="2354" xr:uid="{00000000-0005-0000-0000-0000AE0A0000}"/>
    <cellStyle name="千分位 15" xfId="2355" xr:uid="{00000000-0005-0000-0000-0000AF0A0000}"/>
    <cellStyle name="千分位 16" xfId="2357" xr:uid="{00000000-0005-0000-0000-0000B00A0000}"/>
    <cellStyle name="千分位 17" xfId="2365" xr:uid="{00000000-0005-0000-0000-0000B10A0000}"/>
    <cellStyle name="千分位 17 2" xfId="2474" xr:uid="{00000000-0005-0000-0000-0000B20A0000}"/>
    <cellStyle name="千分位 17 2 2" xfId="3068" xr:uid="{00000000-0005-0000-0000-0000B30A0000}"/>
    <cellStyle name="千分位 17 2 2 2" xfId="3705" xr:uid="{00000000-0005-0000-0000-0000B40A0000}"/>
    <cellStyle name="千分位 17 2 3" xfId="3412" xr:uid="{00000000-0005-0000-0000-0000B50A0000}"/>
    <cellStyle name="千分位 17 3" xfId="2982" xr:uid="{00000000-0005-0000-0000-0000B60A0000}"/>
    <cellStyle name="千分位 17 3 2" xfId="3634" xr:uid="{00000000-0005-0000-0000-0000B70A0000}"/>
    <cellStyle name="千分位 17 4" xfId="3380" xr:uid="{00000000-0005-0000-0000-0000B80A0000}"/>
    <cellStyle name="千分位 18" xfId="2368" xr:uid="{00000000-0005-0000-0000-0000B90A0000}"/>
    <cellStyle name="千分位 18 2" xfId="2480" xr:uid="{00000000-0005-0000-0000-0000BA0A0000}"/>
    <cellStyle name="千分位 18 2 2" xfId="3073" xr:uid="{00000000-0005-0000-0000-0000BB0A0000}"/>
    <cellStyle name="千分位 18 2 2 2" xfId="3709" xr:uid="{00000000-0005-0000-0000-0000BC0A0000}"/>
    <cellStyle name="千分位 18 2 3" xfId="3416" xr:uid="{00000000-0005-0000-0000-0000BD0A0000}"/>
    <cellStyle name="千分位 18 3" xfId="2984" xr:uid="{00000000-0005-0000-0000-0000BE0A0000}"/>
    <cellStyle name="千分位 18 3 2" xfId="3635" xr:uid="{00000000-0005-0000-0000-0000BF0A0000}"/>
    <cellStyle name="千分位 18 4" xfId="3381" xr:uid="{00000000-0005-0000-0000-0000C00A0000}"/>
    <cellStyle name="千分位 19" xfId="2437" xr:uid="{00000000-0005-0000-0000-0000C10A0000}"/>
    <cellStyle name="千分位 19 2" xfId="3033" xr:uid="{00000000-0005-0000-0000-0000C20A0000}"/>
    <cellStyle name="千分位 19 2 2" xfId="3669" xr:uid="{00000000-0005-0000-0000-0000C30A0000}"/>
    <cellStyle name="千分位 19 3" xfId="3393" xr:uid="{00000000-0005-0000-0000-0000C40A0000}"/>
    <cellStyle name="千分位 2" xfId="303" xr:uid="{00000000-0005-0000-0000-0000C50A0000}"/>
    <cellStyle name="千分位 2 2" xfId="304" xr:uid="{00000000-0005-0000-0000-0000C60A0000}"/>
    <cellStyle name="千分位 2 2 2" xfId="464" xr:uid="{00000000-0005-0000-0000-0000C70A0000}"/>
    <cellStyle name="千分位 2 2 2 2" xfId="587" xr:uid="{00000000-0005-0000-0000-0000C80A0000}"/>
    <cellStyle name="千分位 2 2 2 3" xfId="713" xr:uid="{00000000-0005-0000-0000-0000C90A0000}"/>
    <cellStyle name="千分位 2 2 2 4" xfId="2239" xr:uid="{00000000-0005-0000-0000-0000CA0A0000}"/>
    <cellStyle name="千分位 2 2 3" xfId="599" xr:uid="{00000000-0005-0000-0000-0000CB0A0000}"/>
    <cellStyle name="千分位 2 2 4" xfId="610" xr:uid="{00000000-0005-0000-0000-0000CC0A0000}"/>
    <cellStyle name="千分位 2 2 5" xfId="529" xr:uid="{00000000-0005-0000-0000-0000CD0A0000}"/>
    <cellStyle name="千分位 2 2 6" xfId="407" xr:uid="{00000000-0005-0000-0000-0000CE0A0000}"/>
    <cellStyle name="千分位 2 3" xfId="463" xr:uid="{00000000-0005-0000-0000-0000CF0A0000}"/>
    <cellStyle name="千分位 2 3 2" xfId="586" xr:uid="{00000000-0005-0000-0000-0000D00A0000}"/>
    <cellStyle name="千分位 2 3 3" xfId="712" xr:uid="{00000000-0005-0000-0000-0000D10A0000}"/>
    <cellStyle name="千分位 2 3 4" xfId="813" xr:uid="{00000000-0005-0000-0000-0000D20A0000}"/>
    <cellStyle name="千分位 2 3 5" xfId="837" xr:uid="{00000000-0005-0000-0000-0000D30A0000}"/>
    <cellStyle name="千分位 2 4" xfId="598" xr:uid="{00000000-0005-0000-0000-0000D40A0000}"/>
    <cellStyle name="千分位 2 5" xfId="609" xr:uid="{00000000-0005-0000-0000-0000D50A0000}"/>
    <cellStyle name="千分位 2 6" xfId="528" xr:uid="{00000000-0005-0000-0000-0000D60A0000}"/>
    <cellStyle name="千分位 2 7" xfId="523" xr:uid="{00000000-0005-0000-0000-0000D70A0000}"/>
    <cellStyle name="千分位 2 7 2" xfId="661" xr:uid="{00000000-0005-0000-0000-0000D80A0000}"/>
    <cellStyle name="千分位 2 7 2 2" xfId="2713" xr:uid="{00000000-0005-0000-0000-0000D90A0000}"/>
    <cellStyle name="千分位 2 7 2 2 2" xfId="3510" xr:uid="{00000000-0005-0000-0000-0000DA0A0000}"/>
    <cellStyle name="千分位 2 7 2 3" xfId="3318" xr:uid="{00000000-0005-0000-0000-0000DB0A0000}"/>
    <cellStyle name="千分位 2 7 3" xfId="749" xr:uid="{00000000-0005-0000-0000-0000DC0A0000}"/>
    <cellStyle name="千分位 2 7 3 2" xfId="2762" xr:uid="{00000000-0005-0000-0000-0000DD0A0000}"/>
    <cellStyle name="千分位 2 7 3 2 2" xfId="3552" xr:uid="{00000000-0005-0000-0000-0000DE0A0000}"/>
    <cellStyle name="千分位 2 7 3 3" xfId="3341" xr:uid="{00000000-0005-0000-0000-0000DF0A0000}"/>
    <cellStyle name="千分位 2 7 4" xfId="2659" xr:uid="{00000000-0005-0000-0000-0000E00A0000}"/>
    <cellStyle name="千分位 2 7 4 2" xfId="3483" xr:uid="{00000000-0005-0000-0000-0000E10A0000}"/>
    <cellStyle name="千分位 2 7 5" xfId="3301" xr:uid="{00000000-0005-0000-0000-0000E20A0000}"/>
    <cellStyle name="千分位 2 8" xfId="2528" xr:uid="{00000000-0005-0000-0000-0000E30A0000}"/>
    <cellStyle name="千分位 2 8 2" xfId="3116" xr:uid="{00000000-0005-0000-0000-0000E40A0000}"/>
    <cellStyle name="千分位 2 8 2 2" xfId="3750" xr:uid="{00000000-0005-0000-0000-0000E50A0000}"/>
    <cellStyle name="千分位 2 8 3" xfId="3439" xr:uid="{00000000-0005-0000-0000-0000E60A0000}"/>
    <cellStyle name="千分位 2 9" xfId="406" xr:uid="{00000000-0005-0000-0000-0000E70A0000}"/>
    <cellStyle name="千分位 20" xfId="2488" xr:uid="{00000000-0005-0000-0000-0000E80A0000}"/>
    <cellStyle name="千分位 20 2" xfId="3081" xr:uid="{00000000-0005-0000-0000-0000E90A0000}"/>
    <cellStyle name="千分位 20 2 2" xfId="3716" xr:uid="{00000000-0005-0000-0000-0000EA0A0000}"/>
    <cellStyle name="千分位 20 3" xfId="3419" xr:uid="{00000000-0005-0000-0000-0000EB0A0000}"/>
    <cellStyle name="千分位 21" xfId="2436" xr:uid="{00000000-0005-0000-0000-0000EC0A0000}"/>
    <cellStyle name="千分位 21 2" xfId="3032" xr:uid="{00000000-0005-0000-0000-0000ED0A0000}"/>
    <cellStyle name="千分位 21 2 2" xfId="3668" xr:uid="{00000000-0005-0000-0000-0000EE0A0000}"/>
    <cellStyle name="千分位 21 3" xfId="3392" xr:uid="{00000000-0005-0000-0000-0000EF0A0000}"/>
    <cellStyle name="千分位 22" xfId="2569" xr:uid="{00000000-0005-0000-0000-0000F00A0000}"/>
    <cellStyle name="千分位 22 2" xfId="3442" xr:uid="{00000000-0005-0000-0000-0000F10A0000}"/>
    <cellStyle name="千分位 23" xfId="834" xr:uid="{00000000-0005-0000-0000-0000F20A0000}"/>
    <cellStyle name="千分位 23 2" xfId="2445" xr:uid="{00000000-0005-0000-0000-0000F30A0000}"/>
    <cellStyle name="千分位 23 2 2" xfId="3041" xr:uid="{00000000-0005-0000-0000-0000F40A0000}"/>
    <cellStyle name="千分位 23 2 2 2" xfId="3677" xr:uid="{00000000-0005-0000-0000-0000F50A0000}"/>
    <cellStyle name="千分位 23 2 3" xfId="3395" xr:uid="{00000000-0005-0000-0000-0000F60A0000}"/>
    <cellStyle name="千分位 23 3" xfId="2828" xr:uid="{00000000-0005-0000-0000-0000F70A0000}"/>
    <cellStyle name="千分位 23 3 2" xfId="3608" xr:uid="{00000000-0005-0000-0000-0000F80A0000}"/>
    <cellStyle name="千分位 23 4" xfId="3366" xr:uid="{00000000-0005-0000-0000-0000F90A0000}"/>
    <cellStyle name="千分位 24" xfId="2666" xr:uid="{00000000-0005-0000-0000-0000FA0A0000}"/>
    <cellStyle name="千分位 24 2" xfId="3486" xr:uid="{00000000-0005-0000-0000-0000FB0A0000}"/>
    <cellStyle name="千分位 25" xfId="2634" xr:uid="{00000000-0005-0000-0000-0000FC0A0000}"/>
    <cellStyle name="千分位 26" xfId="2676" xr:uid="{00000000-0005-0000-0000-0000FD0A0000}"/>
    <cellStyle name="千分位 27" xfId="3197" xr:uid="{00000000-0005-0000-0000-0000FE0A0000}"/>
    <cellStyle name="千分位 28" xfId="2621" xr:uid="{00000000-0005-0000-0000-0000FF0A0000}"/>
    <cellStyle name="千分位 29" xfId="3271" xr:uid="{00000000-0005-0000-0000-0000000B0000}"/>
    <cellStyle name="千分位 3" xfId="355" xr:uid="{00000000-0005-0000-0000-0000010B0000}"/>
    <cellStyle name="千分位 3 10" xfId="2647" xr:uid="{00000000-0005-0000-0000-0000020B0000}"/>
    <cellStyle name="千分位 3 10 2" xfId="3474" xr:uid="{00000000-0005-0000-0000-0000030B0000}"/>
    <cellStyle name="千分位 3 11" xfId="3292" xr:uid="{00000000-0005-0000-0000-0000040B0000}"/>
    <cellStyle name="千分位 3 12" xfId="492" xr:uid="{00000000-0005-0000-0000-0000050B0000}"/>
    <cellStyle name="千分位 3 2" xfId="573" xr:uid="{00000000-0005-0000-0000-0000060B0000}"/>
    <cellStyle name="千分位 3 2 2" xfId="595" xr:uid="{00000000-0005-0000-0000-0000070B0000}"/>
    <cellStyle name="千分位 3 2 3" xfId="759" xr:uid="{00000000-0005-0000-0000-0000080B0000}"/>
    <cellStyle name="千分位 3 2 3 2" xfId="2504" xr:uid="{00000000-0005-0000-0000-0000090B0000}"/>
    <cellStyle name="千分位 3 2 3 2 2" xfId="3096" xr:uid="{00000000-0005-0000-0000-00000A0B0000}"/>
    <cellStyle name="千分位 3 2 3 2 2 2" xfId="3730" xr:uid="{00000000-0005-0000-0000-00000B0B0000}"/>
    <cellStyle name="千分位 3 2 3 2 3" xfId="3429" xr:uid="{00000000-0005-0000-0000-00000C0B0000}"/>
    <cellStyle name="千分位 3 2 3 3" xfId="2770" xr:uid="{00000000-0005-0000-0000-00000D0B0000}"/>
    <cellStyle name="千分位 3 2 3 3 2" xfId="3561" xr:uid="{00000000-0005-0000-0000-00000E0B0000}"/>
    <cellStyle name="千分位 3 2 3 4" xfId="3346" xr:uid="{00000000-0005-0000-0000-00000F0B0000}"/>
    <cellStyle name="千分位 3 2 4" xfId="2471" xr:uid="{00000000-0005-0000-0000-0000100B0000}"/>
    <cellStyle name="千分位 3 2 4 2" xfId="3065" xr:uid="{00000000-0005-0000-0000-0000110B0000}"/>
    <cellStyle name="千分位 3 2 4 2 2" xfId="3702" xr:uid="{00000000-0005-0000-0000-0000120B0000}"/>
    <cellStyle name="千分位 3 2 4 3" xfId="3409" xr:uid="{00000000-0005-0000-0000-0000130B0000}"/>
    <cellStyle name="千分位 3 2 5" xfId="2361" xr:uid="{00000000-0005-0000-0000-0000140B0000}"/>
    <cellStyle name="千分位 3 2 5 2" xfId="2980" xr:uid="{00000000-0005-0000-0000-0000150B0000}"/>
    <cellStyle name="千分位 3 2 5 2 2" xfId="3631" xr:uid="{00000000-0005-0000-0000-0000160B0000}"/>
    <cellStyle name="千分位 3 2 5 3" xfId="3377" xr:uid="{00000000-0005-0000-0000-0000170B0000}"/>
    <cellStyle name="千分位 3 2 6" xfId="2680" xr:uid="{00000000-0005-0000-0000-0000180B0000}"/>
    <cellStyle name="千分位 3 2 6 2" xfId="3489" xr:uid="{00000000-0005-0000-0000-0000190B0000}"/>
    <cellStyle name="千分位 3 2 7" xfId="3306" xr:uid="{00000000-0005-0000-0000-00001A0B0000}"/>
    <cellStyle name="千分位 3 3" xfId="588" xr:uid="{00000000-0005-0000-0000-00001B0B0000}"/>
    <cellStyle name="千分位 3 4" xfId="557" xr:uid="{00000000-0005-0000-0000-00001C0B0000}"/>
    <cellStyle name="千分位 3 4 2" xfId="758" xr:uid="{00000000-0005-0000-0000-00001D0B0000}"/>
    <cellStyle name="千分位 3 4 2 2" xfId="2769" xr:uid="{00000000-0005-0000-0000-00001E0B0000}"/>
    <cellStyle name="千分位 3 4 2 2 2" xfId="3560" xr:uid="{00000000-0005-0000-0000-00001F0B0000}"/>
    <cellStyle name="千分位 3 4 2 3" xfId="3345" xr:uid="{00000000-0005-0000-0000-0000200B0000}"/>
    <cellStyle name="千分位 3 4 3" xfId="2675" xr:uid="{00000000-0005-0000-0000-0000210B0000}"/>
    <cellStyle name="千分位 3 4 3 2" xfId="3488" xr:uid="{00000000-0005-0000-0000-0000220B0000}"/>
    <cellStyle name="千分位 3 4 4" xfId="3305" xr:uid="{00000000-0005-0000-0000-0000230B0000}"/>
    <cellStyle name="千分位 3 5" xfId="642" xr:uid="{00000000-0005-0000-0000-0000240B0000}"/>
    <cellStyle name="千分位 3 5 2" xfId="776" xr:uid="{00000000-0005-0000-0000-0000250B0000}"/>
    <cellStyle name="千分位 3 5 2 2" xfId="2787" xr:uid="{00000000-0005-0000-0000-0000260B0000}"/>
    <cellStyle name="千分位 3 5 2 2 2" xfId="3574" xr:uid="{00000000-0005-0000-0000-0000270B0000}"/>
    <cellStyle name="千分位 3 5 2 3" xfId="3350" xr:uid="{00000000-0005-0000-0000-0000280B0000}"/>
    <cellStyle name="千分位 3 5 3" xfId="2703" xr:uid="{00000000-0005-0000-0000-0000290B0000}"/>
    <cellStyle name="千分位 3 5 3 2" xfId="3502" xr:uid="{00000000-0005-0000-0000-00002A0B0000}"/>
    <cellStyle name="千分位 3 5 4" xfId="3311" xr:uid="{00000000-0005-0000-0000-00002B0B0000}"/>
    <cellStyle name="千分位 3 6" xfId="659" xr:uid="{00000000-0005-0000-0000-00002C0B0000}"/>
    <cellStyle name="千分位 3 6 2" xfId="781" xr:uid="{00000000-0005-0000-0000-00002D0B0000}"/>
    <cellStyle name="千分位 3 6 2 2" xfId="2792" xr:uid="{00000000-0005-0000-0000-00002E0B0000}"/>
    <cellStyle name="千分位 3 6 2 2 2" xfId="3579" xr:uid="{00000000-0005-0000-0000-00002F0B0000}"/>
    <cellStyle name="千分位 3 6 2 3" xfId="3355" xr:uid="{00000000-0005-0000-0000-0000300B0000}"/>
    <cellStyle name="千分位 3 6 3" xfId="2711" xr:uid="{00000000-0005-0000-0000-0000310B0000}"/>
    <cellStyle name="千分位 3 6 3 2" xfId="3508" xr:uid="{00000000-0005-0000-0000-0000320B0000}"/>
    <cellStyle name="千分位 3 6 4" xfId="3316" xr:uid="{00000000-0005-0000-0000-0000330B0000}"/>
    <cellStyle name="千分位 3 7" xfId="740" xr:uid="{00000000-0005-0000-0000-0000340B0000}"/>
    <cellStyle name="千分位 3 7 2" xfId="2496" xr:uid="{00000000-0005-0000-0000-0000350B0000}"/>
    <cellStyle name="千分位 3 7 2 2" xfId="3089" xr:uid="{00000000-0005-0000-0000-0000360B0000}"/>
    <cellStyle name="千分位 3 7 2 2 2" xfId="3724" xr:uid="{00000000-0005-0000-0000-0000370B0000}"/>
    <cellStyle name="千分位 3 7 2 3" xfId="3423" xr:uid="{00000000-0005-0000-0000-0000380B0000}"/>
    <cellStyle name="千分位 3 7 3" xfId="2389" xr:uid="{00000000-0005-0000-0000-0000390B0000}"/>
    <cellStyle name="千分位 3 7 3 2" xfId="3001" xr:uid="{00000000-0005-0000-0000-00003A0B0000}"/>
    <cellStyle name="千分位 3 7 3 2 2" xfId="3650" xr:uid="{00000000-0005-0000-0000-00003B0B0000}"/>
    <cellStyle name="千分位 3 7 3 3" xfId="3385" xr:uid="{00000000-0005-0000-0000-00003C0B0000}"/>
    <cellStyle name="千分位 3 7 4" xfId="2753" xr:uid="{00000000-0005-0000-0000-00003D0B0000}"/>
    <cellStyle name="千分位 3 7 4 2" xfId="3543" xr:uid="{00000000-0005-0000-0000-00003E0B0000}"/>
    <cellStyle name="千分位 3 7 5" xfId="3332" xr:uid="{00000000-0005-0000-0000-00003F0B0000}"/>
    <cellStyle name="千分位 3 8" xfId="804" xr:uid="{00000000-0005-0000-0000-0000400B0000}"/>
    <cellStyle name="千分位 3 8 2" xfId="2812" xr:uid="{00000000-0005-0000-0000-0000410B0000}"/>
    <cellStyle name="千分位 3 8 2 2" xfId="3596" xr:uid="{00000000-0005-0000-0000-0000420B0000}"/>
    <cellStyle name="千分位 3 8 3" xfId="3363" xr:uid="{00000000-0005-0000-0000-0000430B0000}"/>
    <cellStyle name="千分位 3 9" xfId="2240" xr:uid="{00000000-0005-0000-0000-0000440B0000}"/>
    <cellStyle name="千分位 30" xfId="392" xr:uid="{00000000-0005-0000-0000-0000450B0000}"/>
    <cellStyle name="千分位 4" xfId="354" xr:uid="{00000000-0005-0000-0000-0000460B0000}"/>
    <cellStyle name="千分位 4 10" xfId="2645" xr:uid="{00000000-0005-0000-0000-0000470B0000}"/>
    <cellStyle name="千分位 4 10 2" xfId="3472" xr:uid="{00000000-0005-0000-0000-0000480B0000}"/>
    <cellStyle name="千分位 4 11" xfId="3290" xr:uid="{00000000-0005-0000-0000-0000490B0000}"/>
    <cellStyle name="千分位 4 12" xfId="490" xr:uid="{00000000-0005-0000-0000-00004A0B0000}"/>
    <cellStyle name="千分位 4 2" xfId="357" xr:uid="{00000000-0005-0000-0000-00004B0B0000}"/>
    <cellStyle name="千分位 4 2 2" xfId="590" xr:uid="{00000000-0005-0000-0000-00004C0B0000}"/>
    <cellStyle name="千分位 4 3" xfId="603" xr:uid="{00000000-0005-0000-0000-00004D0B0000}"/>
    <cellStyle name="千分位 4 4" xfId="612" xr:uid="{00000000-0005-0000-0000-00004E0B0000}"/>
    <cellStyle name="千分位 4 5" xfId="560" xr:uid="{00000000-0005-0000-0000-00004F0B0000}"/>
    <cellStyle name="千分位 4 6" xfId="646" xr:uid="{00000000-0005-0000-0000-0000500B0000}"/>
    <cellStyle name="千分位 4 6 2" xfId="777" xr:uid="{00000000-0005-0000-0000-0000510B0000}"/>
    <cellStyle name="千分位 4 6 2 2" xfId="2788" xr:uid="{00000000-0005-0000-0000-0000520B0000}"/>
    <cellStyle name="千分位 4 6 2 2 2" xfId="3575" xr:uid="{00000000-0005-0000-0000-0000530B0000}"/>
    <cellStyle name="千分位 4 6 2 3" xfId="3351" xr:uid="{00000000-0005-0000-0000-0000540B0000}"/>
    <cellStyle name="千分位 4 6 3" xfId="2704" xr:uid="{00000000-0005-0000-0000-0000550B0000}"/>
    <cellStyle name="千分位 4 6 3 2" xfId="3503" xr:uid="{00000000-0005-0000-0000-0000560B0000}"/>
    <cellStyle name="千分位 4 6 4" xfId="3312" xr:uid="{00000000-0005-0000-0000-0000570B0000}"/>
    <cellStyle name="千分位 4 7" xfId="738" xr:uid="{00000000-0005-0000-0000-0000580B0000}"/>
    <cellStyle name="千分位 4 7 2" xfId="2494" xr:uid="{00000000-0005-0000-0000-0000590B0000}"/>
    <cellStyle name="千分位 4 7 2 2" xfId="3087" xr:uid="{00000000-0005-0000-0000-00005A0B0000}"/>
    <cellStyle name="千分位 4 7 2 2 2" xfId="3722" xr:uid="{00000000-0005-0000-0000-00005B0B0000}"/>
    <cellStyle name="千分位 4 7 2 3" xfId="3421" xr:uid="{00000000-0005-0000-0000-00005C0B0000}"/>
    <cellStyle name="千分位 4 7 3" xfId="2751" xr:uid="{00000000-0005-0000-0000-00005D0B0000}"/>
    <cellStyle name="千分位 4 7 3 2" xfId="3541" xr:uid="{00000000-0005-0000-0000-00005E0B0000}"/>
    <cellStyle name="千分位 4 7 4" xfId="3330" xr:uid="{00000000-0005-0000-0000-00005F0B0000}"/>
    <cellStyle name="千分位 4 8" xfId="2460" xr:uid="{00000000-0005-0000-0000-0000600B0000}"/>
    <cellStyle name="千分位 4 8 2" xfId="3054" xr:uid="{00000000-0005-0000-0000-0000610B0000}"/>
    <cellStyle name="千分位 4 8 2 2" xfId="3692" xr:uid="{00000000-0005-0000-0000-0000620B0000}"/>
    <cellStyle name="千分位 4 8 3" xfId="3404" xr:uid="{00000000-0005-0000-0000-0000630B0000}"/>
    <cellStyle name="千分位 4 9" xfId="2241" xr:uid="{00000000-0005-0000-0000-0000640B0000}"/>
    <cellStyle name="千分位 4 9 2" xfId="2946" xr:uid="{00000000-0005-0000-0000-0000650B0000}"/>
    <cellStyle name="千分位 4 9 2 2" xfId="3620" xr:uid="{00000000-0005-0000-0000-0000660B0000}"/>
    <cellStyle name="千分位 4 9 3" xfId="3371" xr:uid="{00000000-0005-0000-0000-0000670B0000}"/>
    <cellStyle name="千分位 5" xfId="361" xr:uid="{00000000-0005-0000-0000-0000680B0000}"/>
    <cellStyle name="千分位 5 2" xfId="593" xr:uid="{00000000-0005-0000-0000-0000690B0000}"/>
    <cellStyle name="千分位 5 3" xfId="606" xr:uid="{00000000-0005-0000-0000-00006A0B0000}"/>
    <cellStyle name="千分位 5 4" xfId="615" xr:uid="{00000000-0005-0000-0000-00006B0B0000}"/>
    <cellStyle name="千分位 5 5" xfId="2402" xr:uid="{00000000-0005-0000-0000-00006C0B0000}"/>
    <cellStyle name="千分位 5 6" xfId="2242" xr:uid="{00000000-0005-0000-0000-00006D0B0000}"/>
    <cellStyle name="千分位 5 7" xfId="567" xr:uid="{00000000-0005-0000-0000-00006E0B0000}"/>
    <cellStyle name="千分位 6" xfId="363" xr:uid="{00000000-0005-0000-0000-00006F0B0000}"/>
    <cellStyle name="千分位 6 2" xfId="596" xr:uid="{00000000-0005-0000-0000-0000700B0000}"/>
    <cellStyle name="千分位 6 2 2" xfId="762" xr:uid="{00000000-0005-0000-0000-0000710B0000}"/>
    <cellStyle name="千分位 6 2 2 2" xfId="2507" xr:uid="{00000000-0005-0000-0000-0000720B0000}"/>
    <cellStyle name="千分位 6 2 2 2 2" xfId="3099" xr:uid="{00000000-0005-0000-0000-0000730B0000}"/>
    <cellStyle name="千分位 6 2 2 2 2 2" xfId="3733" xr:uid="{00000000-0005-0000-0000-0000740B0000}"/>
    <cellStyle name="千分位 6 2 2 2 3" xfId="3432" xr:uid="{00000000-0005-0000-0000-0000750B0000}"/>
    <cellStyle name="千分位 6 2 2 3" xfId="2773" xr:uid="{00000000-0005-0000-0000-0000760B0000}"/>
    <cellStyle name="千分位 6 2 2 3 2" xfId="3564" xr:uid="{00000000-0005-0000-0000-0000770B0000}"/>
    <cellStyle name="千分位 6 2 2 4" xfId="3349" xr:uid="{00000000-0005-0000-0000-0000780B0000}"/>
    <cellStyle name="千分位 6 2 3" xfId="2412" xr:uid="{00000000-0005-0000-0000-0000790B0000}"/>
    <cellStyle name="千分位 6 2 3 2" xfId="3013" xr:uid="{00000000-0005-0000-0000-00007A0B0000}"/>
    <cellStyle name="千分位 6 2 3 2 2" xfId="3657" xr:uid="{00000000-0005-0000-0000-00007B0B0000}"/>
    <cellStyle name="千分位 6 2 3 3" xfId="3390" xr:uid="{00000000-0005-0000-0000-00007C0B0000}"/>
    <cellStyle name="千分位 6 2 4" xfId="2684" xr:uid="{00000000-0005-0000-0000-00007D0B0000}"/>
    <cellStyle name="千分位 6 2 4 2" xfId="3492" xr:uid="{00000000-0005-0000-0000-00007E0B0000}"/>
    <cellStyle name="千分位 6 2 5" xfId="3309" xr:uid="{00000000-0005-0000-0000-00007F0B0000}"/>
    <cellStyle name="千分位 6 3" xfId="761" xr:uid="{00000000-0005-0000-0000-0000800B0000}"/>
    <cellStyle name="千分位 6 3 2" xfId="2506" xr:uid="{00000000-0005-0000-0000-0000810B0000}"/>
    <cellStyle name="千分位 6 3 2 2" xfId="3098" xr:uid="{00000000-0005-0000-0000-0000820B0000}"/>
    <cellStyle name="千分位 6 3 2 2 2" xfId="3732" xr:uid="{00000000-0005-0000-0000-0000830B0000}"/>
    <cellStyle name="千分位 6 3 2 3" xfId="3431" xr:uid="{00000000-0005-0000-0000-0000840B0000}"/>
    <cellStyle name="千分位 6 3 3" xfId="2404" xr:uid="{00000000-0005-0000-0000-0000850B0000}"/>
    <cellStyle name="千分位 6 3 3 2" xfId="3010" xr:uid="{00000000-0005-0000-0000-0000860B0000}"/>
    <cellStyle name="千分位 6 3 3 2 2" xfId="3656" xr:uid="{00000000-0005-0000-0000-0000870B0000}"/>
    <cellStyle name="千分位 6 3 3 3" xfId="3389" xr:uid="{00000000-0005-0000-0000-0000880B0000}"/>
    <cellStyle name="千分位 6 3 4" xfId="2772" xr:uid="{00000000-0005-0000-0000-0000890B0000}"/>
    <cellStyle name="千分位 6 3 4 2" xfId="3563" xr:uid="{00000000-0005-0000-0000-00008A0B0000}"/>
    <cellStyle name="千分位 6 3 5" xfId="3348" xr:uid="{00000000-0005-0000-0000-00008B0B0000}"/>
    <cellStyle name="千分位 6 4" xfId="2243" xr:uid="{00000000-0005-0000-0000-00008C0B0000}"/>
    <cellStyle name="千分位 6 5" xfId="2682" xr:uid="{00000000-0005-0000-0000-00008D0B0000}"/>
    <cellStyle name="千分位 6 5 2" xfId="3491" xr:uid="{00000000-0005-0000-0000-00008E0B0000}"/>
    <cellStyle name="千分位 6 6" xfId="3308" xr:uid="{00000000-0005-0000-0000-00008F0B0000}"/>
    <cellStyle name="千分位 6 7" xfId="575" xr:uid="{00000000-0005-0000-0000-0000900B0000}"/>
    <cellStyle name="千分位 7" xfId="365" xr:uid="{00000000-0005-0000-0000-0000910B0000}"/>
    <cellStyle name="千分位 7 2" xfId="743" xr:uid="{00000000-0005-0000-0000-0000920B0000}"/>
    <cellStyle name="千分位 7 2 2" xfId="2498" xr:uid="{00000000-0005-0000-0000-0000930B0000}"/>
    <cellStyle name="千分位 7 2 2 2" xfId="3091" xr:uid="{00000000-0005-0000-0000-0000940B0000}"/>
    <cellStyle name="千分位 7 2 2 2 2" xfId="3726" xr:uid="{00000000-0005-0000-0000-0000950B0000}"/>
    <cellStyle name="千分位 7 2 2 3" xfId="3425" xr:uid="{00000000-0005-0000-0000-0000960B0000}"/>
    <cellStyle name="千分位 7 2 3" xfId="2756" xr:uid="{00000000-0005-0000-0000-0000970B0000}"/>
    <cellStyle name="千分位 7 2 3 2" xfId="3546" xr:uid="{00000000-0005-0000-0000-0000980B0000}"/>
    <cellStyle name="千分位 7 2 4" xfId="3335" xr:uid="{00000000-0005-0000-0000-0000990B0000}"/>
    <cellStyle name="千分位 7 3" xfId="2461" xr:uid="{00000000-0005-0000-0000-00009A0B0000}"/>
    <cellStyle name="千分位 7 3 2" xfId="3055" xr:uid="{00000000-0005-0000-0000-00009B0B0000}"/>
    <cellStyle name="千分位 7 3 2 2" xfId="3693" xr:uid="{00000000-0005-0000-0000-00009C0B0000}"/>
    <cellStyle name="千分位 7 3 3" xfId="3405" xr:uid="{00000000-0005-0000-0000-00009D0B0000}"/>
    <cellStyle name="千分位 7 4" xfId="2244" xr:uid="{00000000-0005-0000-0000-00009E0B0000}"/>
    <cellStyle name="千分位 7 4 2" xfId="2948" xr:uid="{00000000-0005-0000-0000-00009F0B0000}"/>
    <cellStyle name="千分位 7 4 2 2" xfId="3621" xr:uid="{00000000-0005-0000-0000-0000A00B0000}"/>
    <cellStyle name="千分位 7 4 3" xfId="3372" xr:uid="{00000000-0005-0000-0000-0000A10B0000}"/>
    <cellStyle name="千分位 7 5" xfId="2653" xr:uid="{00000000-0005-0000-0000-0000A20B0000}"/>
    <cellStyle name="千分位 7 5 2" xfId="3477" xr:uid="{00000000-0005-0000-0000-0000A30B0000}"/>
    <cellStyle name="千分位 7 6" xfId="3295" xr:uid="{00000000-0005-0000-0000-0000A40B0000}"/>
    <cellStyle name="千分位 7 7" xfId="516" xr:uid="{00000000-0005-0000-0000-0000A50B0000}"/>
    <cellStyle name="千分位 8" xfId="660" xr:uid="{00000000-0005-0000-0000-0000A60B0000}"/>
    <cellStyle name="千分位 8 2" xfId="782" xr:uid="{00000000-0005-0000-0000-0000A70B0000}"/>
    <cellStyle name="千分位 8 2 2" xfId="2462" xr:uid="{00000000-0005-0000-0000-0000A80B0000}"/>
    <cellStyle name="千分位 8 2 2 2" xfId="3056" xr:uid="{00000000-0005-0000-0000-0000A90B0000}"/>
    <cellStyle name="千分位 8 2 2 2 2" xfId="3694" xr:uid="{00000000-0005-0000-0000-0000AA0B0000}"/>
    <cellStyle name="千分位 8 2 2 3" xfId="3406" xr:uid="{00000000-0005-0000-0000-0000AB0B0000}"/>
    <cellStyle name="千分位 8 2 3" xfId="2793" xr:uid="{00000000-0005-0000-0000-0000AC0B0000}"/>
    <cellStyle name="千分位 8 2 3 2" xfId="3580" xr:uid="{00000000-0005-0000-0000-0000AD0B0000}"/>
    <cellStyle name="千分位 8 2 4" xfId="3356" xr:uid="{00000000-0005-0000-0000-0000AE0B0000}"/>
    <cellStyle name="千分位 8 3" xfId="2245" xr:uid="{00000000-0005-0000-0000-0000AF0B0000}"/>
    <cellStyle name="千分位 8 3 2" xfId="2949" xr:uid="{00000000-0005-0000-0000-0000B00B0000}"/>
    <cellStyle name="千分位 8 3 2 2" xfId="3622" xr:uid="{00000000-0005-0000-0000-0000B10B0000}"/>
    <cellStyle name="千分位 8 3 3" xfId="3373" xr:uid="{00000000-0005-0000-0000-0000B20B0000}"/>
    <cellStyle name="千分位 8 4" xfId="2712" xr:uid="{00000000-0005-0000-0000-0000B30B0000}"/>
    <cellStyle name="千分位 8 4 2" xfId="3509" xr:uid="{00000000-0005-0000-0000-0000B40B0000}"/>
    <cellStyle name="千分位 8 5" xfId="3317" xr:uid="{00000000-0005-0000-0000-0000B50B0000}"/>
    <cellStyle name="千分位 9" xfId="665" xr:uid="{00000000-0005-0000-0000-0000B60B0000}"/>
    <cellStyle name="千分位 9 2" xfId="2246" xr:uid="{00000000-0005-0000-0000-0000B70B0000}"/>
    <cellStyle name="千分位 9 3" xfId="2717" xr:uid="{00000000-0005-0000-0000-0000B80B0000}"/>
    <cellStyle name="千分位 9 3 2" xfId="3514" xr:uid="{00000000-0005-0000-0000-0000B90B0000}"/>
    <cellStyle name="千分位 9 4" xfId="3320" xr:uid="{00000000-0005-0000-0000-0000BA0B0000}"/>
    <cellStyle name="千分位[0] 2" xfId="653" xr:uid="{00000000-0005-0000-0000-0000BB0B0000}"/>
    <cellStyle name="千分位[0] 2 2" xfId="779" xr:uid="{00000000-0005-0000-0000-0000BC0B0000}"/>
    <cellStyle name="千分位[0] 2 2 2" xfId="2790" xr:uid="{00000000-0005-0000-0000-0000BD0B0000}"/>
    <cellStyle name="千分位[0] 2 2 2 2" xfId="3577" xr:uid="{00000000-0005-0000-0000-0000BE0B0000}"/>
    <cellStyle name="千分位[0] 2 2 3" xfId="3353" xr:uid="{00000000-0005-0000-0000-0000BF0B0000}"/>
    <cellStyle name="千分位[0] 2 3" xfId="2707" xr:uid="{00000000-0005-0000-0000-0000C00B0000}"/>
    <cellStyle name="千分位[0] 2 3 2" xfId="3505" xr:uid="{00000000-0005-0000-0000-0000C10B0000}"/>
    <cellStyle name="千分位[0] 2 4" xfId="3314" xr:uid="{00000000-0005-0000-0000-0000C20B0000}"/>
    <cellStyle name="千分位[0] 3" xfId="796" xr:uid="{00000000-0005-0000-0000-0000C30B0000}"/>
    <cellStyle name="千分位[0] 3 2" xfId="2807" xr:uid="{00000000-0005-0000-0000-0000C40B0000}"/>
    <cellStyle name="千分位[0] 3 2 2" xfId="3594" xr:uid="{00000000-0005-0000-0000-0000C50B0000}"/>
    <cellStyle name="千分位[0] 3 3" xfId="3361" xr:uid="{00000000-0005-0000-0000-0000C60B0000}"/>
    <cellStyle name="千分位_accrued 04-05 II" xfId="305" xr:uid="{00000000-0005-0000-0000-0000C70B0000}"/>
    <cellStyle name="后继超级链接" xfId="2248" xr:uid="{00000000-0005-0000-0000-0000720C0000}"/>
    <cellStyle name="壞_2007 to 2011 working" xfId="2308" xr:uid="{00000000-0005-0000-0000-0000D40E0000}"/>
    <cellStyle name="壞_2007 to 2011 working 2" xfId="2309" xr:uid="{00000000-0005-0000-0000-0000D50E0000}"/>
    <cellStyle name="壞_Summary of minutes" xfId="2310" xr:uid="{00000000-0005-0000-0000-0000D60E0000}"/>
    <cellStyle name="好_2007 to 2011 working" xfId="2249" xr:uid="{00000000-0005-0000-0000-0000730C0000}"/>
    <cellStyle name="好_2007 to 2011 working 2" xfId="2250" xr:uid="{00000000-0005-0000-0000-0000740C0000}"/>
    <cellStyle name="好_D_MDG_0308" xfId="2251" xr:uid="{00000000-0005-0000-0000-0000750C0000}"/>
    <cellStyle name="好_D_MDG_0308_2007 to 2011 working" xfId="2252" xr:uid="{00000000-0005-0000-0000-0000760C0000}"/>
    <cellStyle name="好_Summary of minutes" xfId="2253" xr:uid="{00000000-0005-0000-0000-0000770C0000}"/>
    <cellStyle name="好_WP1" xfId="310" xr:uid="{00000000-0005-0000-0000-0000780C0000}"/>
    <cellStyle name="好_WP1 2" xfId="465" xr:uid="{00000000-0005-0000-0000-0000790C0000}"/>
    <cellStyle name="好_WP1 2 2" xfId="714" xr:uid="{00000000-0005-0000-0000-00007A0C0000}"/>
    <cellStyle name="好_WP1 3" xfId="530" xr:uid="{00000000-0005-0000-0000-00007B0C0000}"/>
    <cellStyle name="好_WP1 4" xfId="408" xr:uid="{00000000-0005-0000-0000-00007C0C0000}"/>
    <cellStyle name="寘嬫愗傝 [0.00]_RFP003B" xfId="328" xr:uid="{00000000-0005-0000-0000-00001B0E0000}"/>
    <cellStyle name="寘嬫愗傝_Table5" xfId="329" xr:uid="{00000000-0005-0000-0000-00001C0E0000}"/>
    <cellStyle name="寥碟徽_95" xfId="2279" xr:uid="{00000000-0005-0000-0000-0000B40E0000}"/>
    <cellStyle name="崔矾" xfId="2269" xr:uid="{00000000-0005-0000-0000-0000BB0D0000}"/>
    <cellStyle name="巍葆 [0]_95" xfId="2312" xr:uid="{00000000-0005-0000-0000-0000DD0E0000}"/>
    <cellStyle name="巍葆_95" xfId="2313" xr:uid="{00000000-0005-0000-0000-0000DE0E0000}"/>
    <cellStyle name="差" xfId="314" xr:uid="{00000000-0005-0000-0000-0000310D0000}"/>
    <cellStyle name="差 2" xfId="467" xr:uid="{00000000-0005-0000-0000-0000320D0000}"/>
    <cellStyle name="差 2 2" xfId="716" xr:uid="{00000000-0005-0000-0000-0000330D0000}"/>
    <cellStyle name="差 2 3" xfId="2260" xr:uid="{00000000-0005-0000-0000-0000340D0000}"/>
    <cellStyle name="差 3" xfId="533" xr:uid="{00000000-0005-0000-0000-0000350D0000}"/>
    <cellStyle name="差 4" xfId="410" xr:uid="{00000000-0005-0000-0000-0000360D0000}"/>
    <cellStyle name="差_2007 to 2011 working" xfId="2261" xr:uid="{00000000-0005-0000-0000-0000370D0000}"/>
    <cellStyle name="差_Book3_Mar_30_10乾胜审计资料需要提供的文件--初稿3_30(1)_May 12,11 乾胜 Feb 2011 ETB 201103" xfId="558" xr:uid="{00000000-0005-0000-0000-0000380D0000}"/>
    <cellStyle name="差_Mar 13,10 成都ETB-1002_O130_Mar 29 11 肇市乾胜有限公司审计清单_Feb 17,12 鸿伟木业2011-ETB" xfId="563" xr:uid="{00000000-0005-0000-0000-0000390D0000}"/>
    <cellStyle name="常规 2" xfId="576" xr:uid="{00000000-0005-0000-0000-0000BC0D0000}"/>
    <cellStyle name="常规 2 2" xfId="650" xr:uid="{00000000-0005-0000-0000-0000BD0D0000}"/>
    <cellStyle name="常规 2 2 2" xfId="800" xr:uid="{00000000-0005-0000-0000-0000BE0D0000}"/>
    <cellStyle name="常规 2 3" xfId="798" xr:uid="{00000000-0005-0000-0000-0000BF0D0000}"/>
    <cellStyle name="常规 2 3 2" xfId="2405" xr:uid="{00000000-0005-0000-0000-0000C00D0000}"/>
    <cellStyle name="常规 2 4" xfId="2446" xr:uid="{00000000-0005-0000-0000-0000C10D0000}"/>
    <cellStyle name="常规 2 4 2" xfId="3042" xr:uid="{00000000-0005-0000-0000-0000C20D0000}"/>
    <cellStyle name="常规 2 4 2 2" xfId="3678" xr:uid="{00000000-0005-0000-0000-0000C30D0000}"/>
    <cellStyle name="常规 2 4 3" xfId="3396" xr:uid="{00000000-0005-0000-0000-0000C40D0000}"/>
    <cellStyle name="常规 2 5" xfId="835" xr:uid="{00000000-0005-0000-0000-0000C50D0000}"/>
    <cellStyle name="常规 2 5 2" xfId="2829" xr:uid="{00000000-0005-0000-0000-0000C60D0000}"/>
    <cellStyle name="常规 2 5 2 2" xfId="3609" xr:uid="{00000000-0005-0000-0000-0000C70D0000}"/>
    <cellStyle name="常规 2 5 3" xfId="3367" xr:uid="{00000000-0005-0000-0000-0000C80D0000}"/>
    <cellStyle name="常规 3" xfId="579" xr:uid="{00000000-0005-0000-0000-0000C90D0000}"/>
    <cellStyle name="常规 3 2" xfId="808" xr:uid="{00000000-0005-0000-0000-0000CA0D0000}"/>
    <cellStyle name="常规 4" xfId="568" xr:uid="{00000000-0005-0000-0000-0000CB0D0000}"/>
    <cellStyle name="常规 4 3" xfId="572" xr:uid="{00000000-0005-0000-0000-0000CC0D0000}"/>
    <cellStyle name="常规 5" xfId="601" xr:uid="{00000000-0005-0000-0000-0000CD0D0000}"/>
    <cellStyle name="常规 6" xfId="617" xr:uid="{00000000-0005-0000-0000-0000CE0D0000}"/>
    <cellStyle name="常规 7" xfId="651" xr:uid="{00000000-0005-0000-0000-0000CF0D0000}"/>
    <cellStyle name="常规_(Z1) 资产负债表(企财01表)" xfId="634" xr:uid="{00000000-0005-0000-0000-0000D00D0000}"/>
    <cellStyle name="强调文字颜色 1" xfId="320" xr:uid="{00000000-0005-0000-0000-0000E20D0000}"/>
    <cellStyle name="强调文字颜色 1 2" xfId="469" xr:uid="{00000000-0005-0000-0000-0000E30D0000}"/>
    <cellStyle name="强调文字颜色 1 2 2" xfId="718" xr:uid="{00000000-0005-0000-0000-0000E40D0000}"/>
    <cellStyle name="强调文字颜色 1 2 3" xfId="2317" xr:uid="{00000000-0005-0000-0000-0000E50D0000}"/>
    <cellStyle name="强调文字颜色 1 3" xfId="535" xr:uid="{00000000-0005-0000-0000-0000E60D0000}"/>
    <cellStyle name="强调文字颜色 1 4" xfId="412" xr:uid="{00000000-0005-0000-0000-0000E70D0000}"/>
    <cellStyle name="强调文字颜色 2" xfId="321" xr:uid="{00000000-0005-0000-0000-0000E80D0000}"/>
    <cellStyle name="强调文字颜色 2 2" xfId="470" xr:uid="{00000000-0005-0000-0000-0000E90D0000}"/>
    <cellStyle name="强调文字颜色 2 2 2" xfId="719" xr:uid="{00000000-0005-0000-0000-0000EA0D0000}"/>
    <cellStyle name="强调文字颜色 2 2 3" xfId="2318" xr:uid="{00000000-0005-0000-0000-0000EB0D0000}"/>
    <cellStyle name="强调文字颜色 2 3" xfId="536" xr:uid="{00000000-0005-0000-0000-0000EC0D0000}"/>
    <cellStyle name="强调文字颜色 2 4" xfId="413" xr:uid="{00000000-0005-0000-0000-0000ED0D0000}"/>
    <cellStyle name="强调文字颜色 3" xfId="322" xr:uid="{00000000-0005-0000-0000-0000EE0D0000}"/>
    <cellStyle name="强调文字颜色 3 2" xfId="471" xr:uid="{00000000-0005-0000-0000-0000EF0D0000}"/>
    <cellStyle name="强调文字颜色 3 2 2" xfId="720" xr:uid="{00000000-0005-0000-0000-0000F00D0000}"/>
    <cellStyle name="强调文字颜色 3 2 3" xfId="2319" xr:uid="{00000000-0005-0000-0000-0000F10D0000}"/>
    <cellStyle name="强调文字颜色 3 3" xfId="537" xr:uid="{00000000-0005-0000-0000-0000F20D0000}"/>
    <cellStyle name="强调文字颜色 3 4" xfId="414" xr:uid="{00000000-0005-0000-0000-0000F30D0000}"/>
    <cellStyle name="强调文字颜色 4" xfId="323" xr:uid="{00000000-0005-0000-0000-0000F40D0000}"/>
    <cellStyle name="强调文字颜色 4 2" xfId="472" xr:uid="{00000000-0005-0000-0000-0000F50D0000}"/>
    <cellStyle name="强调文字颜色 4 2 2" xfId="721" xr:uid="{00000000-0005-0000-0000-0000F60D0000}"/>
    <cellStyle name="强调文字颜色 4 2 3" xfId="2320" xr:uid="{00000000-0005-0000-0000-0000F70D0000}"/>
    <cellStyle name="强调文字颜色 4 3" xfId="538" xr:uid="{00000000-0005-0000-0000-0000F80D0000}"/>
    <cellStyle name="强调文字颜色 4 4" xfId="415" xr:uid="{00000000-0005-0000-0000-0000F90D0000}"/>
    <cellStyle name="强调文字颜色 5" xfId="324" xr:uid="{00000000-0005-0000-0000-0000FA0D0000}"/>
    <cellStyle name="强调文字颜色 5 2" xfId="473" xr:uid="{00000000-0005-0000-0000-0000FB0D0000}"/>
    <cellStyle name="强调文字颜色 5 2 2" xfId="722" xr:uid="{00000000-0005-0000-0000-0000FC0D0000}"/>
    <cellStyle name="强调文字颜色 5 2 3" xfId="2321" xr:uid="{00000000-0005-0000-0000-0000FD0D0000}"/>
    <cellStyle name="强调文字颜色 5 3" xfId="539" xr:uid="{00000000-0005-0000-0000-0000FE0D0000}"/>
    <cellStyle name="强调文字颜色 5 4" xfId="416" xr:uid="{00000000-0005-0000-0000-0000FF0D0000}"/>
    <cellStyle name="强调文字颜色 6" xfId="325" xr:uid="{00000000-0005-0000-0000-0000000E0000}"/>
    <cellStyle name="强调文字颜色 6 2" xfId="474" xr:uid="{00000000-0005-0000-0000-0000010E0000}"/>
    <cellStyle name="强调文字颜色 6 2 2" xfId="723" xr:uid="{00000000-0005-0000-0000-0000020E0000}"/>
    <cellStyle name="强调文字颜色 6 2 3" xfId="2322" xr:uid="{00000000-0005-0000-0000-0000030E0000}"/>
    <cellStyle name="强调文字颜色 6 3" xfId="540" xr:uid="{00000000-0005-0000-0000-0000040E0000}"/>
    <cellStyle name="强调文字颜色 6 4" xfId="417" xr:uid="{00000000-0005-0000-0000-0000050E0000}"/>
    <cellStyle name="拳企扁龋" xfId="2262" xr:uid="{00000000-0005-0000-0000-00003A0D0000}"/>
    <cellStyle name="拳企扁龋0" xfId="2263" xr:uid="{00000000-0005-0000-0000-00003B0D0000}"/>
    <cellStyle name="捠壿 [0.00]_TABLE 3" xfId="341" xr:uid="{00000000-0005-0000-0000-00003C0D0000}"/>
    <cellStyle name="捠壿_TABLE 3" xfId="342" xr:uid="{00000000-0005-0000-0000-00003D0D0000}"/>
    <cellStyle name="日期" xfId="2247" xr:uid="{00000000-0005-0000-0000-0000E50B0000}"/>
    <cellStyle name="日期 2" xfId="2463" xr:uid="{00000000-0005-0000-0000-0000E60B0000}"/>
    <cellStyle name="日期 2 2" xfId="3057" xr:uid="{00000000-0005-0000-0000-0000E70B0000}"/>
    <cellStyle name="日期 2 2 2" xfId="3695" xr:uid="{00000000-0005-0000-0000-0000E80B0000}"/>
    <cellStyle name="日期 2 3" xfId="3208" xr:uid="{00000000-0005-0000-0000-0000E90B0000}"/>
    <cellStyle name="日期 2 4" xfId="2911" xr:uid="{00000000-0005-0000-0000-0000EA0B0000}"/>
    <cellStyle name="日期 3" xfId="2951" xr:uid="{00000000-0005-0000-0000-0000EB0B0000}"/>
    <cellStyle name="日期 3 2" xfId="3623" xr:uid="{00000000-0005-0000-0000-0000EC0B0000}"/>
    <cellStyle name="日期 4" xfId="2637" xr:uid="{00000000-0005-0000-0000-0000ED0B0000}"/>
    <cellStyle name="日期 5" xfId="2836" xr:uid="{00000000-0005-0000-0000-0000EE0B0000}"/>
    <cellStyle name="昗弨_FWBS1100" xfId="312" xr:uid="{00000000-0005-0000-0000-0000B00C0000}"/>
    <cellStyle name="普通_ 白土" xfId="326" xr:uid="{00000000-0005-0000-0000-0000060E0000}"/>
    <cellStyle name="朝楼" xfId="2275" xr:uid="{00000000-0005-0000-0000-0000070E0000}"/>
    <cellStyle name="未定義" xfId="309" xr:uid="{00000000-0005-0000-0000-0000340C0000}"/>
    <cellStyle name="标题" xfId="343" xr:uid="{00000000-0005-0000-0000-0000ED0C0000}"/>
    <cellStyle name="标题 1" xfId="344" xr:uid="{00000000-0005-0000-0000-0000EE0C0000}"/>
    <cellStyle name="标题 1 2" xfId="480" xr:uid="{00000000-0005-0000-0000-0000EF0C0000}"/>
    <cellStyle name="标题 1 2 2" xfId="729" xr:uid="{00000000-0005-0000-0000-0000F00C0000}"/>
    <cellStyle name="标题 1 2 3" xfId="2324" xr:uid="{00000000-0005-0000-0000-0000F10C0000}"/>
    <cellStyle name="标题 1 3" xfId="546" xr:uid="{00000000-0005-0000-0000-0000F20C0000}"/>
    <cellStyle name="标题 1 4" xfId="423" xr:uid="{00000000-0005-0000-0000-0000F30C0000}"/>
    <cellStyle name="标题 2" xfId="345" xr:uid="{00000000-0005-0000-0000-0000F40C0000}"/>
    <cellStyle name="标题 2 2" xfId="481" xr:uid="{00000000-0005-0000-0000-0000F50C0000}"/>
    <cellStyle name="标题 2 2 2" xfId="730" xr:uid="{00000000-0005-0000-0000-0000F60C0000}"/>
    <cellStyle name="标题 2 2 3" xfId="2325" xr:uid="{00000000-0005-0000-0000-0000F70C0000}"/>
    <cellStyle name="标题 2 3" xfId="547" xr:uid="{00000000-0005-0000-0000-0000F80C0000}"/>
    <cellStyle name="标题 2 4" xfId="424" xr:uid="{00000000-0005-0000-0000-0000F90C0000}"/>
    <cellStyle name="标题 3" xfId="346" xr:uid="{00000000-0005-0000-0000-0000FA0C0000}"/>
    <cellStyle name="标题 3 2" xfId="482" xr:uid="{00000000-0005-0000-0000-0000FB0C0000}"/>
    <cellStyle name="标题 3 2 2" xfId="731" xr:uid="{00000000-0005-0000-0000-0000FC0C0000}"/>
    <cellStyle name="标题 3 2 2 2" xfId="2521" xr:uid="{00000000-0005-0000-0000-0000FD0C0000}"/>
    <cellStyle name="标题 3 2 2 2 2" xfId="3112" xr:uid="{00000000-0005-0000-0000-0000FE0C0000}"/>
    <cellStyle name="标题 3 2 2 2 2 2" xfId="3746" xr:uid="{00000000-0005-0000-0000-0000FF0C0000}"/>
    <cellStyle name="标题 3 2 2 2 3" xfId="3228" xr:uid="{00000000-0005-0000-0000-0000000D0000}"/>
    <cellStyle name="标题 3 2 2 2 3 2" xfId="3753" xr:uid="{00000000-0005-0000-0000-0000010D0000}"/>
    <cellStyle name="标题 3 2 2 2 4" xfId="3262" xr:uid="{00000000-0005-0000-0000-0000020D0000}"/>
    <cellStyle name="标题 3 2 2 2 5" xfId="3435" xr:uid="{00000000-0005-0000-0000-0000030D0000}"/>
    <cellStyle name="标题 3 2 2 3" xfId="2567" xr:uid="{00000000-0005-0000-0000-0000040D0000}"/>
    <cellStyle name="标题 3 2 2 3 2" xfId="3537" xr:uid="{00000000-0005-0000-0000-0000050D0000}"/>
    <cellStyle name="标题 3 2 2 4" xfId="2870" xr:uid="{00000000-0005-0000-0000-0000060D0000}"/>
    <cellStyle name="标题 3 2 2 5" xfId="2605" xr:uid="{00000000-0005-0000-0000-0000070D0000}"/>
    <cellStyle name="标题 3 2 2 6" xfId="3328" xr:uid="{00000000-0005-0000-0000-0000080D0000}"/>
    <cellStyle name="标题 3 2 3" xfId="2326" xr:uid="{00000000-0005-0000-0000-0000090D0000}"/>
    <cellStyle name="标题 3 2 3 2" xfId="3148" xr:uid="{00000000-0005-0000-0000-00000A0D0000}"/>
    <cellStyle name="标题 3 2 3 2 2" xfId="3624" xr:uid="{00000000-0005-0000-0000-00000B0D0000}"/>
    <cellStyle name="标题 3 2 3 3" xfId="2549" xr:uid="{00000000-0005-0000-0000-00000C0D0000}"/>
    <cellStyle name="标题 3 2 3 4" xfId="2927" xr:uid="{00000000-0005-0000-0000-00000D0D0000}"/>
    <cellStyle name="标题 3 2 3 5" xfId="3374" xr:uid="{00000000-0005-0000-0000-00000E0D0000}"/>
    <cellStyle name="标题 3 2 4" xfId="2519" xr:uid="{00000000-0005-0000-0000-00000F0D0000}"/>
    <cellStyle name="标题 3 2 4 2" xfId="3111" xr:uid="{00000000-0005-0000-0000-0000100D0000}"/>
    <cellStyle name="标题 3 2 4 2 2" xfId="3745" xr:uid="{00000000-0005-0000-0000-0000110D0000}"/>
    <cellStyle name="标题 3 2 4 3" xfId="3227" xr:uid="{00000000-0005-0000-0000-0000120D0000}"/>
    <cellStyle name="标题 3 2 4 3 2" xfId="3752" xr:uid="{00000000-0005-0000-0000-0000130D0000}"/>
    <cellStyle name="标题 3 2 4 4" xfId="3261" xr:uid="{00000000-0005-0000-0000-0000140D0000}"/>
    <cellStyle name="标题 3 2 4 5" xfId="3434" xr:uid="{00000000-0005-0000-0000-0000150D0000}"/>
    <cellStyle name="标题 3 3" xfId="548" xr:uid="{00000000-0005-0000-0000-0000160D0000}"/>
    <cellStyle name="标题 3 3 2" xfId="754" xr:uid="{00000000-0005-0000-0000-0000170D0000}"/>
    <cellStyle name="标题 3 3 2 2" xfId="2897" xr:uid="{00000000-0005-0000-0000-0000180D0000}"/>
    <cellStyle name="标题 3 3 2 2 2" xfId="3556" xr:uid="{00000000-0005-0000-0000-0000190D0000}"/>
    <cellStyle name="标题 3 3 2 3" xfId="2865" xr:uid="{00000000-0005-0000-0000-00001A0D0000}"/>
    <cellStyle name="标题 3 3 2 4" xfId="2592" xr:uid="{00000000-0005-0000-0000-00001B0D0000}"/>
    <cellStyle name="标题 3 3 2 5" xfId="3343" xr:uid="{00000000-0005-0000-0000-00001C0D0000}"/>
    <cellStyle name="标题 3 4" xfId="680" xr:uid="{00000000-0005-0000-0000-00001D0D0000}"/>
    <cellStyle name="标题 3 4 2" xfId="2819" xr:uid="{00000000-0005-0000-0000-00001E0D0000}"/>
    <cellStyle name="标题 3 4 2 2" xfId="3525" xr:uid="{00000000-0005-0000-0000-00001F0D0000}"/>
    <cellStyle name="标题 3 4 3" xfId="2874" xr:uid="{00000000-0005-0000-0000-0000200D0000}"/>
    <cellStyle name="标题 3 4 4" xfId="3256" xr:uid="{00000000-0005-0000-0000-0000210D0000}"/>
    <cellStyle name="标题 3 4 5" xfId="3325" xr:uid="{00000000-0005-0000-0000-0000220D0000}"/>
    <cellStyle name="标题 3 5" xfId="425" xr:uid="{00000000-0005-0000-0000-0000230D0000}"/>
    <cellStyle name="标题 4" xfId="347" xr:uid="{00000000-0005-0000-0000-0000240D0000}"/>
    <cellStyle name="标题 4 2" xfId="483" xr:uid="{00000000-0005-0000-0000-0000250D0000}"/>
    <cellStyle name="标题 4 2 2" xfId="732" xr:uid="{00000000-0005-0000-0000-0000260D0000}"/>
    <cellStyle name="标题 4 2 3" xfId="2327" xr:uid="{00000000-0005-0000-0000-0000270D0000}"/>
    <cellStyle name="标题 4 3" xfId="549" xr:uid="{00000000-0005-0000-0000-0000280D0000}"/>
    <cellStyle name="标题 4 4" xfId="426" xr:uid="{00000000-0005-0000-0000-0000290D0000}"/>
    <cellStyle name="标题 5" xfId="479" xr:uid="{00000000-0005-0000-0000-00002A0D0000}"/>
    <cellStyle name="标题 5 2" xfId="728" xr:uid="{00000000-0005-0000-0000-00002B0D0000}"/>
    <cellStyle name="标题 5 3" xfId="2323" xr:uid="{00000000-0005-0000-0000-00002C0D0000}"/>
    <cellStyle name="标题 6" xfId="545" xr:uid="{00000000-0005-0000-0000-00002D0D0000}"/>
    <cellStyle name="标题 7" xfId="422" xr:uid="{00000000-0005-0000-0000-00002E0D0000}"/>
    <cellStyle name="标题_2007 to 2011 working" xfId="2328" xr:uid="{00000000-0005-0000-0000-00002F0D0000}"/>
    <cellStyle name="桁区切り [0.00]_１１月価格表" xfId="315" xr:uid="{00000000-0005-0000-0000-00003E0D0000}"/>
    <cellStyle name="桁区切り_１１月価格表" xfId="316" xr:uid="{00000000-0005-0000-0000-00003F0D0000}"/>
    <cellStyle name="检查单元格" xfId="348" xr:uid="{00000000-0005-0000-0000-0000D10D0000}"/>
    <cellStyle name="检查单元格 2" xfId="484" xr:uid="{00000000-0005-0000-0000-0000D20D0000}"/>
    <cellStyle name="检查单元格 2 2" xfId="733" xr:uid="{00000000-0005-0000-0000-0000D30D0000}"/>
    <cellStyle name="检查单元格 2 3" xfId="2329" xr:uid="{00000000-0005-0000-0000-0000D40D0000}"/>
    <cellStyle name="检查单元格 3" xfId="550" xr:uid="{00000000-0005-0000-0000-0000D50D0000}"/>
    <cellStyle name="检查单元格 4" xfId="427" xr:uid="{00000000-0005-0000-0000-0000D60D0000}"/>
    <cellStyle name="標準 4 2 2" xfId="562" xr:uid="{00000000-0005-0000-0000-0000B80E0000}"/>
    <cellStyle name="標準_１０" xfId="333" xr:uid="{00000000-0005-0000-0000-0000B90E0000}"/>
    <cellStyle name="標題 1 1" xfId="2298" xr:uid="{00000000-0005-0000-0000-0000BA0E0000}"/>
    <cellStyle name="標題 1 1 1" xfId="2299" xr:uid="{00000000-0005-0000-0000-0000BB0E0000}"/>
    <cellStyle name="標題 2 1" xfId="2300" xr:uid="{00000000-0005-0000-0000-0000BC0E0000}"/>
    <cellStyle name="標題 2 1 1" xfId="2301" xr:uid="{00000000-0005-0000-0000-0000BD0E0000}"/>
    <cellStyle name="樣式 1" xfId="2283" xr:uid="{00000000-0005-0000-0000-0000BE0E0000}"/>
    <cellStyle name="樣式 10" xfId="2284" xr:uid="{00000000-0005-0000-0000-0000BF0E0000}"/>
    <cellStyle name="樣式 11" xfId="2285" xr:uid="{00000000-0005-0000-0000-0000C00E0000}"/>
    <cellStyle name="樣式 12" xfId="2286" xr:uid="{00000000-0005-0000-0000-0000C10E0000}"/>
    <cellStyle name="樣式 13" xfId="2287" xr:uid="{00000000-0005-0000-0000-0000C20E0000}"/>
    <cellStyle name="樣式 14" xfId="2288" xr:uid="{00000000-0005-0000-0000-0000C30E0000}"/>
    <cellStyle name="樣式 15" xfId="2289" xr:uid="{00000000-0005-0000-0000-0000C40E0000}"/>
    <cellStyle name="樣式 2" xfId="2290" xr:uid="{00000000-0005-0000-0000-0000C50E0000}"/>
    <cellStyle name="樣式 3" xfId="2291" xr:uid="{00000000-0005-0000-0000-0000C60E0000}"/>
    <cellStyle name="樣式 4" xfId="2292" xr:uid="{00000000-0005-0000-0000-0000C70E0000}"/>
    <cellStyle name="樣式 5" xfId="2293" xr:uid="{00000000-0005-0000-0000-0000C80E0000}"/>
    <cellStyle name="樣式 6" xfId="2294" xr:uid="{00000000-0005-0000-0000-0000C90E0000}"/>
    <cellStyle name="樣式 7" xfId="2295" xr:uid="{00000000-0005-0000-0000-0000CA0E0000}"/>
    <cellStyle name="樣式 8" xfId="2296" xr:uid="{00000000-0005-0000-0000-0000CB0E0000}"/>
    <cellStyle name="樣式 9" xfId="2297" xr:uid="{00000000-0005-0000-0000-0000CC0E0000}"/>
    <cellStyle name="欺季飘" xfId="2276" xr:uid="{00000000-0005-0000-0000-0000080E0000}"/>
    <cellStyle name="汇总" xfId="349" xr:uid="{00000000-0005-0000-0000-0000350C0000}"/>
    <cellStyle name="汇总 2" xfId="485" xr:uid="{00000000-0005-0000-0000-0000360C0000}"/>
    <cellStyle name="汇总 2 2" xfId="734" xr:uid="{00000000-0005-0000-0000-0000370C0000}"/>
    <cellStyle name="汇总 2 2 2" xfId="2491" xr:uid="{00000000-0005-0000-0000-0000380C0000}"/>
    <cellStyle name="汇总 2 2 2 2" xfId="3084" xr:uid="{00000000-0005-0000-0000-0000390C0000}"/>
    <cellStyle name="汇总 2 2 2 2 2" xfId="3719" xr:uid="{00000000-0005-0000-0000-00003A0C0000}"/>
    <cellStyle name="汇总 2 2 2 3" xfId="3195" xr:uid="{00000000-0005-0000-0000-00003B0C0000}"/>
    <cellStyle name="汇总 2 2 2 4" xfId="3012" xr:uid="{00000000-0005-0000-0000-00003C0C0000}"/>
    <cellStyle name="汇总 2 2 2 5" xfId="3209" xr:uid="{00000000-0005-0000-0000-00003D0C0000}"/>
    <cellStyle name="汇总 2 2 3" xfId="2748" xr:uid="{00000000-0005-0000-0000-00003E0C0000}"/>
    <cellStyle name="汇总 2 2 3 2" xfId="3538" xr:uid="{00000000-0005-0000-0000-00003F0C0000}"/>
    <cellStyle name="汇总 2 2 4" xfId="2566" xr:uid="{00000000-0005-0000-0000-0000400C0000}"/>
    <cellStyle name="汇总 2 2 5" xfId="2869" xr:uid="{00000000-0005-0000-0000-0000410C0000}"/>
    <cellStyle name="汇总 2 2 6" xfId="2856" xr:uid="{00000000-0005-0000-0000-0000420C0000}"/>
    <cellStyle name="汇总 2 3" xfId="2465" xr:uid="{00000000-0005-0000-0000-0000430C0000}"/>
    <cellStyle name="汇总 2 3 2" xfId="3059" xr:uid="{00000000-0005-0000-0000-0000440C0000}"/>
    <cellStyle name="汇总 2 3 2 2" xfId="3696" xr:uid="{00000000-0005-0000-0000-0000450C0000}"/>
    <cellStyle name="汇总 2 3 3" xfId="3185" xr:uid="{00000000-0005-0000-0000-0000460C0000}"/>
    <cellStyle name="汇总 2 3 4" xfId="3207" xr:uid="{00000000-0005-0000-0000-0000470C0000}"/>
    <cellStyle name="汇总 2 3 5" xfId="3136" xr:uid="{00000000-0005-0000-0000-0000480C0000}"/>
    <cellStyle name="汇总 2 4" xfId="2330" xr:uid="{00000000-0005-0000-0000-0000490C0000}"/>
    <cellStyle name="汇总 2 4 2" xfId="2965" xr:uid="{00000000-0005-0000-0000-00004A0C0000}"/>
    <cellStyle name="汇总 2 4 2 2" xfId="3625" xr:uid="{00000000-0005-0000-0000-00004B0C0000}"/>
    <cellStyle name="汇总 2 4 3" xfId="3150" xr:uid="{00000000-0005-0000-0000-00004C0C0000}"/>
    <cellStyle name="汇总 2 4 4" xfId="2548" xr:uid="{00000000-0005-0000-0000-00004D0C0000}"/>
    <cellStyle name="汇总 2 4 5" xfId="2641" xr:uid="{00000000-0005-0000-0000-00004E0C0000}"/>
    <cellStyle name="汇总 2 5" xfId="2594" xr:uid="{00000000-0005-0000-0000-00004F0C0000}"/>
    <cellStyle name="汇总 2 5 2" xfId="3469" xr:uid="{00000000-0005-0000-0000-0000500C0000}"/>
    <cellStyle name="汇总 3" xfId="551" xr:uid="{00000000-0005-0000-0000-0000510C0000}"/>
    <cellStyle name="汇总 3 2" xfId="755" xr:uid="{00000000-0005-0000-0000-0000520C0000}"/>
    <cellStyle name="汇总 3 2 2" xfId="2766" xr:uid="{00000000-0005-0000-0000-0000530C0000}"/>
    <cellStyle name="汇总 3 2 2 2" xfId="3557" xr:uid="{00000000-0005-0000-0000-0000540C0000}"/>
    <cellStyle name="汇总 3 2 3" xfId="2896" xr:uid="{00000000-0005-0000-0000-0000550C0000}"/>
    <cellStyle name="汇总 3 2 4" xfId="2651" xr:uid="{00000000-0005-0000-0000-0000560C0000}"/>
    <cellStyle name="汇总 3 2 5" xfId="2860" xr:uid="{00000000-0005-0000-0000-0000570C0000}"/>
    <cellStyle name="汇总 3 3" xfId="2672" xr:uid="{00000000-0005-0000-0000-0000580C0000}"/>
    <cellStyle name="汇总 3 4" xfId="3024" xr:uid="{00000000-0005-0000-0000-0000590C0000}"/>
    <cellStyle name="汇总 3 5" xfId="3155" xr:uid="{00000000-0005-0000-0000-00005A0C0000}"/>
    <cellStyle name="汇总 3 6" xfId="2882" xr:uid="{00000000-0005-0000-0000-00005B0C0000}"/>
    <cellStyle name="汇总 3 7" xfId="2852" xr:uid="{00000000-0005-0000-0000-00005C0C0000}"/>
    <cellStyle name="汇总 4" xfId="639" xr:uid="{00000000-0005-0000-0000-00005D0C0000}"/>
    <cellStyle name="汇总 4 2" xfId="2516" xr:uid="{00000000-0005-0000-0000-00005E0C0000}"/>
    <cellStyle name="汇总 4 2 2" xfId="3108" xr:uid="{00000000-0005-0000-0000-00005F0C0000}"/>
    <cellStyle name="汇总 4 2 2 2" xfId="3742" xr:uid="{00000000-0005-0000-0000-0000600C0000}"/>
    <cellStyle name="汇总 4 2 3" xfId="3205" xr:uid="{00000000-0005-0000-0000-0000610C0000}"/>
    <cellStyle name="汇总 4 2 4" xfId="3237" xr:uid="{00000000-0005-0000-0000-0000620C0000}"/>
    <cellStyle name="汇总 4 2 5" xfId="3264" xr:uid="{00000000-0005-0000-0000-0000630C0000}"/>
    <cellStyle name="汇总 4 3" xfId="2701" xr:uid="{00000000-0005-0000-0000-0000640C0000}"/>
    <cellStyle name="汇总 4 3 2" xfId="3501" xr:uid="{00000000-0005-0000-0000-0000650C0000}"/>
    <cellStyle name="汇总 4 4" xfId="2913" xr:uid="{00000000-0005-0000-0000-0000660C0000}"/>
    <cellStyle name="汇总 4 5" xfId="3018" xr:uid="{00000000-0005-0000-0000-0000670C0000}"/>
    <cellStyle name="汇总 4 6" xfId="2934" xr:uid="{00000000-0005-0000-0000-0000680C0000}"/>
    <cellStyle name="汇总 5" xfId="2443" xr:uid="{00000000-0005-0000-0000-0000690C0000}"/>
    <cellStyle name="汇总 5 2" xfId="3039" xr:uid="{00000000-0005-0000-0000-00006A0C0000}"/>
    <cellStyle name="汇总 5 2 2" xfId="3675" xr:uid="{00000000-0005-0000-0000-00006B0C0000}"/>
    <cellStyle name="汇总 5 3" xfId="3180" xr:uid="{00000000-0005-0000-0000-00006C0C0000}"/>
    <cellStyle name="汇总 5 4" xfId="2662" xr:uid="{00000000-0005-0000-0000-00006D0C0000}"/>
    <cellStyle name="汇总 5 5" xfId="2613" xr:uid="{00000000-0005-0000-0000-00006E0C0000}"/>
    <cellStyle name="汇总 6" xfId="2976" xr:uid="{00000000-0005-0000-0000-00006F0C0000}"/>
    <cellStyle name="汇总 6 2" xfId="3455" xr:uid="{00000000-0005-0000-0000-0000700C0000}"/>
    <cellStyle name="汇总 7" xfId="428" xr:uid="{00000000-0005-0000-0000-0000710C0000}"/>
    <cellStyle name="注释" xfId="313" xr:uid="{00000000-0005-0000-0000-0000B10C0000}"/>
    <cellStyle name="注释 2" xfId="466" xr:uid="{00000000-0005-0000-0000-0000B20C0000}"/>
    <cellStyle name="注释 2 2" xfId="715" xr:uid="{00000000-0005-0000-0000-0000B30C0000}"/>
    <cellStyle name="注释 2 2 2" xfId="2487" xr:uid="{00000000-0005-0000-0000-0000B40C0000}"/>
    <cellStyle name="注释 2 2 2 2" xfId="3080" xr:uid="{00000000-0005-0000-0000-0000B50C0000}"/>
    <cellStyle name="注释 2 2 2 3" xfId="3192" xr:uid="{00000000-0005-0000-0000-0000B60C0000}"/>
    <cellStyle name="注释 2 2 2 4" xfId="3222" xr:uid="{00000000-0005-0000-0000-0000B70C0000}"/>
    <cellStyle name="注释 2 2 2 5" xfId="2606" xr:uid="{00000000-0005-0000-0000-0000B80C0000}"/>
    <cellStyle name="注释 2 2 2 6" xfId="2688" xr:uid="{00000000-0005-0000-0000-0000B90C0000}"/>
    <cellStyle name="注释 2 2 3" xfId="2743" xr:uid="{00000000-0005-0000-0000-0000BA0C0000}"/>
    <cellStyle name="注释 2 2 4" xfId="2571" xr:uid="{00000000-0005-0000-0000-0000BB0C0000}"/>
    <cellStyle name="注释 2 2 5" xfId="2889" xr:uid="{00000000-0005-0000-0000-0000BC0C0000}"/>
    <cellStyle name="注释 2 2 6" xfId="2872" xr:uid="{00000000-0005-0000-0000-0000BD0C0000}"/>
    <cellStyle name="注释 2 2 7" xfId="3164" xr:uid="{00000000-0005-0000-0000-0000BE0C0000}"/>
    <cellStyle name="注释 2 3" xfId="2464" xr:uid="{00000000-0005-0000-0000-0000BF0C0000}"/>
    <cellStyle name="注释 2 3 2" xfId="3058" xr:uid="{00000000-0005-0000-0000-0000C00C0000}"/>
    <cellStyle name="注释 2 3 3" xfId="3184" xr:uid="{00000000-0005-0000-0000-0000C10C0000}"/>
    <cellStyle name="注释 2 3 4" xfId="3213" xr:uid="{00000000-0005-0000-0000-0000C20C0000}"/>
    <cellStyle name="注释 2 3 5" xfId="3154" xr:uid="{00000000-0005-0000-0000-0000C30C0000}"/>
    <cellStyle name="注释 2 3 6" xfId="2710" xr:uid="{00000000-0005-0000-0000-0000C40C0000}"/>
    <cellStyle name="注释 2 4" xfId="2259" xr:uid="{00000000-0005-0000-0000-0000C50C0000}"/>
    <cellStyle name="注释 2 4 2" xfId="2952" xr:uid="{00000000-0005-0000-0000-0000C60C0000}"/>
    <cellStyle name="注释 2 4 3" xfId="3129" xr:uid="{00000000-0005-0000-0000-0000C70C0000}"/>
    <cellStyle name="注释 2 4 4" xfId="2884" xr:uid="{00000000-0005-0000-0000-0000C80C0000}"/>
    <cellStyle name="注释 2 4 5" xfId="3190" xr:uid="{00000000-0005-0000-0000-0000C90C0000}"/>
    <cellStyle name="注释 2 4 6" xfId="2609" xr:uid="{00000000-0005-0000-0000-0000CA0C0000}"/>
    <cellStyle name="注释 2 5" xfId="2599" xr:uid="{00000000-0005-0000-0000-0000CB0C0000}"/>
    <cellStyle name="注释 2 5 2" xfId="3466" xr:uid="{00000000-0005-0000-0000-0000CC0C0000}"/>
    <cellStyle name="注释 3" xfId="532" xr:uid="{00000000-0005-0000-0000-0000CD0C0000}"/>
    <cellStyle name="注释 3 2" xfId="2433" xr:uid="{00000000-0005-0000-0000-0000CE0C0000}"/>
    <cellStyle name="注释 3 2 2" xfId="3029" xr:uid="{00000000-0005-0000-0000-0000CF0C0000}"/>
    <cellStyle name="注释 3 2 3" xfId="3176" xr:uid="{00000000-0005-0000-0000-0000D00C0000}"/>
    <cellStyle name="注释 3 2 4" xfId="2735" xr:uid="{00000000-0005-0000-0000-0000D10C0000}"/>
    <cellStyle name="注释 3 2 5" xfId="2560" xr:uid="{00000000-0005-0000-0000-0000D20C0000}"/>
    <cellStyle name="注释 3 2 6" xfId="3216" xr:uid="{00000000-0005-0000-0000-0000D30C0000}"/>
    <cellStyle name="注释 3 3" xfId="2664" xr:uid="{00000000-0005-0000-0000-0000D40C0000}"/>
    <cellStyle name="注释 3 4" xfId="2929" xr:uid="{00000000-0005-0000-0000-0000D50C0000}"/>
    <cellStyle name="注释 3 5" xfId="2941" xr:uid="{00000000-0005-0000-0000-0000D60C0000}"/>
    <cellStyle name="注释 3 6" xfId="3159" xr:uid="{00000000-0005-0000-0000-0000D70C0000}"/>
    <cellStyle name="注释 3 7" xfId="2538" xr:uid="{00000000-0005-0000-0000-0000D80C0000}"/>
    <cellStyle name="注释 4" xfId="633" xr:uid="{00000000-0005-0000-0000-0000D90C0000}"/>
    <cellStyle name="注释 4 2" xfId="2435" xr:uid="{00000000-0005-0000-0000-0000DA0C0000}"/>
    <cellStyle name="注释 4 2 2" xfId="3031" xr:uid="{00000000-0005-0000-0000-0000DB0C0000}"/>
    <cellStyle name="注释 4 2 3" xfId="3178" xr:uid="{00000000-0005-0000-0000-0000DC0C0000}"/>
    <cellStyle name="注释 4 2 4" xfId="3161" xr:uid="{00000000-0005-0000-0000-0000DD0C0000}"/>
    <cellStyle name="注释 4 2 5" xfId="3175" xr:uid="{00000000-0005-0000-0000-0000DE0C0000}"/>
    <cellStyle name="注释 4 2 6" xfId="2871" xr:uid="{00000000-0005-0000-0000-0000DF0C0000}"/>
    <cellStyle name="注释 4 3" xfId="2697" xr:uid="{00000000-0005-0000-0000-0000E00C0000}"/>
    <cellStyle name="注释 4 4" xfId="2916" xr:uid="{00000000-0005-0000-0000-0000E10C0000}"/>
    <cellStyle name="注释 4 5" xfId="2833" xr:uid="{00000000-0005-0000-0000-0000E20C0000}"/>
    <cellStyle name="注释 4 6" xfId="3122" xr:uid="{00000000-0005-0000-0000-0000E30C0000}"/>
    <cellStyle name="注释 4 7" xfId="2550" xr:uid="{00000000-0005-0000-0000-0000E40C0000}"/>
    <cellStyle name="注释 5" xfId="2942" xr:uid="{00000000-0005-0000-0000-0000E50C0000}"/>
    <cellStyle name="注释 5 2" xfId="3452" xr:uid="{00000000-0005-0000-0000-0000E60C0000}"/>
    <cellStyle name="注释 6" xfId="409" xr:uid="{00000000-0005-0000-0000-0000E70C0000}"/>
    <cellStyle name="烹拳 [0]_(type)醚褒" xfId="2270" xr:uid="{00000000-0005-0000-0000-0000D70D0000}"/>
    <cellStyle name="烹拳_(type)醚褒" xfId="2271" xr:uid="{00000000-0005-0000-0000-0000D80D0000}"/>
    <cellStyle name="珨啜_30554_6_h" xfId="2264" xr:uid="{00000000-0005-0000-0000-0000400D0000}"/>
    <cellStyle name="百分比 2" xfId="358" xr:uid="{00000000-0005-0000-0000-00007D0C0000}"/>
    <cellStyle name="百分比 2 10" xfId="2648" xr:uid="{00000000-0005-0000-0000-00007E0C0000}"/>
    <cellStyle name="百分比 2 10 2" xfId="3475" xr:uid="{00000000-0005-0000-0000-00007F0C0000}"/>
    <cellStyle name="百分比 2 11" xfId="3293" xr:uid="{00000000-0005-0000-0000-0000800C0000}"/>
    <cellStyle name="百分比 2 12" xfId="493" xr:uid="{00000000-0005-0000-0000-0000810C0000}"/>
    <cellStyle name="百分比 2 2" xfId="359" xr:uid="{00000000-0005-0000-0000-0000820C0000}"/>
    <cellStyle name="百分比 2 2 2" xfId="571" xr:uid="{00000000-0005-0000-0000-0000830C0000}"/>
    <cellStyle name="百分比 2 2 3" xfId="2400" xr:uid="{00000000-0005-0000-0000-0000840C0000}"/>
    <cellStyle name="百分比 2 2 4" xfId="2256" xr:uid="{00000000-0005-0000-0000-0000850C0000}"/>
    <cellStyle name="百分比 2 2 5" xfId="564" xr:uid="{00000000-0005-0000-0000-0000860C0000}"/>
    <cellStyle name="百分比 2 3" xfId="591" xr:uid="{00000000-0005-0000-0000-0000870C0000}"/>
    <cellStyle name="百分比 2 3 2" xfId="2411" xr:uid="{00000000-0005-0000-0000-0000880C0000}"/>
    <cellStyle name="百分比 2 3 3" xfId="2472" xr:uid="{00000000-0005-0000-0000-0000890C0000}"/>
    <cellStyle name="百分比 2 3 3 2" xfId="3066" xr:uid="{00000000-0005-0000-0000-00008A0C0000}"/>
    <cellStyle name="百分比 2 3 3 2 2" xfId="3703" xr:uid="{00000000-0005-0000-0000-00008B0C0000}"/>
    <cellStyle name="百分比 2 3 3 3" xfId="3410" xr:uid="{00000000-0005-0000-0000-00008C0C0000}"/>
    <cellStyle name="百分比 2 3 4" xfId="2362" xr:uid="{00000000-0005-0000-0000-00008D0C0000}"/>
    <cellStyle name="百分比 2 3 4 2" xfId="2981" xr:uid="{00000000-0005-0000-0000-00008E0C0000}"/>
    <cellStyle name="百分比 2 3 4 2 2" xfId="3632" xr:uid="{00000000-0005-0000-0000-00008F0C0000}"/>
    <cellStyle name="百分比 2 3 4 3" xfId="3378" xr:uid="{00000000-0005-0000-0000-0000900C0000}"/>
    <cellStyle name="百分比 2 4" xfId="604" xr:uid="{00000000-0005-0000-0000-0000910C0000}"/>
    <cellStyle name="百分比 2 5" xfId="613" xr:uid="{00000000-0005-0000-0000-0000920C0000}"/>
    <cellStyle name="百分比 2 6" xfId="561" xr:uid="{00000000-0005-0000-0000-0000930C0000}"/>
    <cellStyle name="百分比 2 7" xfId="741" xr:uid="{00000000-0005-0000-0000-0000940C0000}"/>
    <cellStyle name="百分比 2 7 2" xfId="2497" xr:uid="{00000000-0005-0000-0000-0000950C0000}"/>
    <cellStyle name="百分比 2 7 2 2" xfId="3090" xr:uid="{00000000-0005-0000-0000-0000960C0000}"/>
    <cellStyle name="百分比 2 7 2 2 2" xfId="3725" xr:uid="{00000000-0005-0000-0000-0000970C0000}"/>
    <cellStyle name="百分比 2 7 2 3" xfId="3424" xr:uid="{00000000-0005-0000-0000-0000980C0000}"/>
    <cellStyle name="百分比 2 7 3" xfId="2390" xr:uid="{00000000-0005-0000-0000-0000990C0000}"/>
    <cellStyle name="百分比 2 7 3 2" xfId="3002" xr:uid="{00000000-0005-0000-0000-00009A0C0000}"/>
    <cellStyle name="百分比 2 7 3 2 2" xfId="3651" xr:uid="{00000000-0005-0000-0000-00009B0C0000}"/>
    <cellStyle name="百分比 2 7 3 3" xfId="3386" xr:uid="{00000000-0005-0000-0000-00009C0C0000}"/>
    <cellStyle name="百分比 2 7 4" xfId="2754" xr:uid="{00000000-0005-0000-0000-00009D0C0000}"/>
    <cellStyle name="百分比 2 7 4 2" xfId="3544" xr:uid="{00000000-0005-0000-0000-00009E0C0000}"/>
    <cellStyle name="百分比 2 7 5" xfId="3333" xr:uid="{00000000-0005-0000-0000-00009F0C0000}"/>
    <cellStyle name="百分比 2 8" xfId="805" xr:uid="{00000000-0005-0000-0000-0000A00C0000}"/>
    <cellStyle name="百分比 2 9" xfId="2255" xr:uid="{00000000-0005-0000-0000-0000A10C0000}"/>
    <cellStyle name="百分比 3" xfId="311" xr:uid="{00000000-0005-0000-0000-0000A20C0000}"/>
    <cellStyle name="百分比 3 2" xfId="2257" xr:uid="{00000000-0005-0000-0000-0000A30C0000}"/>
    <cellStyle name="百分比 4" xfId="578" xr:uid="{00000000-0005-0000-0000-0000A40C0000}"/>
    <cellStyle name="百分比 4 2" xfId="2407" xr:uid="{00000000-0005-0000-0000-0000A50C0000}"/>
    <cellStyle name="百分比 4 3" xfId="2258" xr:uid="{00000000-0005-0000-0000-0000A60C0000}"/>
    <cellStyle name="百分比 5" xfId="2254" xr:uid="{00000000-0005-0000-0000-0000A70C0000}"/>
    <cellStyle name="百分比 6" xfId="2359" xr:uid="{00000000-0005-0000-0000-0000A80C0000}"/>
    <cellStyle name="百分比 6 2" xfId="2469" xr:uid="{00000000-0005-0000-0000-0000A90C0000}"/>
    <cellStyle name="百分比 6 2 2" xfId="3063" xr:uid="{00000000-0005-0000-0000-0000AA0C0000}"/>
    <cellStyle name="百分比 6 2 2 2" xfId="3700" xr:uid="{00000000-0005-0000-0000-0000AB0C0000}"/>
    <cellStyle name="百分比 6 2 3" xfId="3407" xr:uid="{00000000-0005-0000-0000-0000AC0C0000}"/>
    <cellStyle name="百分比 6 3" xfId="2978" xr:uid="{00000000-0005-0000-0000-0000AD0C0000}"/>
    <cellStyle name="百分比 6 3 2" xfId="3629" xr:uid="{00000000-0005-0000-0000-0000AE0C0000}"/>
    <cellStyle name="百分比 6 4" xfId="3375" xr:uid="{00000000-0005-0000-0000-0000AF0C0000}"/>
    <cellStyle name="砯刽 [0]_BS9701-3" xfId="2265" xr:uid="{00000000-0005-0000-0000-0000410D0000}"/>
    <cellStyle name="砯刽[0]_MMC-CP1" xfId="2266" xr:uid="{00000000-0005-0000-0000-0000420D0000}"/>
    <cellStyle name="砯刽_BS9701-3" xfId="2267" xr:uid="{00000000-0005-0000-0000-0000430D0000}"/>
    <cellStyle name="磊府荐" xfId="2302" xr:uid="{00000000-0005-0000-0000-0000CD0E0000}"/>
    <cellStyle name="磊府荐0" xfId="2303" xr:uid="{00000000-0005-0000-0000-0000CE0E0000}"/>
    <cellStyle name="禬硈挡" xfId="2307" xr:uid="{00000000-0005-0000-0000-0000D30E0000}"/>
    <cellStyle name="箭磊(R)" xfId="2304" xr:uid="{00000000-0005-0000-0000-0000CF0E0000}"/>
    <cellStyle name="綴樟閉撰蟈諉" xfId="2280" xr:uid="{00000000-0005-0000-0000-0000B50E0000}"/>
    <cellStyle name="绊沥免仿1" xfId="2331" xr:uid="{00000000-0005-0000-0000-0000E80C0000}"/>
    <cellStyle name="绊沥免仿2" xfId="2332" xr:uid="{00000000-0005-0000-0000-0000E90C0000}"/>
    <cellStyle name="绊沥家箭痢" xfId="2333" xr:uid="{00000000-0005-0000-0000-0000EA0C0000}"/>
    <cellStyle name="解释性文本" xfId="330" xr:uid="{00000000-0005-0000-0000-00001D0E0000}"/>
    <cellStyle name="解释性文本 2" xfId="475" xr:uid="{00000000-0005-0000-0000-00001E0E0000}"/>
    <cellStyle name="解释性文本 2 2" xfId="724" xr:uid="{00000000-0005-0000-0000-00001F0E0000}"/>
    <cellStyle name="解释性文本 2 3" xfId="2278" xr:uid="{00000000-0005-0000-0000-0000200E0000}"/>
    <cellStyle name="解释性文本 3" xfId="541" xr:uid="{00000000-0005-0000-0000-0000210E0000}"/>
    <cellStyle name="解释性文本 4" xfId="418" xr:uid="{00000000-0005-0000-0000-0000220E0000}"/>
    <cellStyle name="警告文本" xfId="335" xr:uid="{00000000-0005-0000-0000-0000D70E0000}"/>
    <cellStyle name="警告文本 2" xfId="478" xr:uid="{00000000-0005-0000-0000-0000D80E0000}"/>
    <cellStyle name="警告文本 2 2" xfId="727" xr:uid="{00000000-0005-0000-0000-0000D90E0000}"/>
    <cellStyle name="警告文本 2 3" xfId="2311" xr:uid="{00000000-0005-0000-0000-0000DA0E0000}"/>
    <cellStyle name="警告文本 3" xfId="544" xr:uid="{00000000-0005-0000-0000-0000DB0E0000}"/>
    <cellStyle name="警告文本 4" xfId="421" xr:uid="{00000000-0005-0000-0000-0000DC0E0000}"/>
    <cellStyle name="计算" xfId="350" xr:uid="{00000000-0005-0000-0000-0000EF0B0000}"/>
    <cellStyle name="计算 2" xfId="486" xr:uid="{00000000-0005-0000-0000-0000F00B0000}"/>
    <cellStyle name="计算 2 2" xfId="735" xr:uid="{00000000-0005-0000-0000-0000F10B0000}"/>
    <cellStyle name="计算 2 2 2" xfId="2492" xr:uid="{00000000-0005-0000-0000-0000F20B0000}"/>
    <cellStyle name="计算 2 2 2 2" xfId="3085" xr:uid="{00000000-0005-0000-0000-0000F30B0000}"/>
    <cellStyle name="计算 2 2 2 2 2" xfId="3720" xr:uid="{00000000-0005-0000-0000-0000F40B0000}"/>
    <cellStyle name="计算 2 2 2 3" xfId="3196" xr:uid="{00000000-0005-0000-0000-0000F50B0000}"/>
    <cellStyle name="计算 2 2 2 4" xfId="2955" xr:uid="{00000000-0005-0000-0000-0000F60B0000}"/>
    <cellStyle name="计算 2 2 2 5" xfId="2961" xr:uid="{00000000-0005-0000-0000-0000F70B0000}"/>
    <cellStyle name="计算 2 2 3" xfId="2749" xr:uid="{00000000-0005-0000-0000-0000F80B0000}"/>
    <cellStyle name="计算 2 2 3 2" xfId="3539" xr:uid="{00000000-0005-0000-0000-0000F90B0000}"/>
    <cellStyle name="计算 2 2 4" xfId="2565" xr:uid="{00000000-0005-0000-0000-0000FA0B0000}"/>
    <cellStyle name="计算 2 2 5" xfId="2868" xr:uid="{00000000-0005-0000-0000-0000FB0B0000}"/>
    <cellStyle name="计算 2 2 6" xfId="2563" xr:uid="{00000000-0005-0000-0000-0000FC0B0000}"/>
    <cellStyle name="计算 2 3" xfId="2466" xr:uid="{00000000-0005-0000-0000-0000FD0B0000}"/>
    <cellStyle name="计算 2 3 2" xfId="3060" xr:uid="{00000000-0005-0000-0000-0000FE0B0000}"/>
    <cellStyle name="计算 2 3 2 2" xfId="3697" xr:uid="{00000000-0005-0000-0000-0000FF0B0000}"/>
    <cellStyle name="计算 2 3 3" xfId="3186" xr:uid="{00000000-0005-0000-0000-0000000C0000}"/>
    <cellStyle name="计算 2 3 4" xfId="3215" xr:uid="{00000000-0005-0000-0000-0000010C0000}"/>
    <cellStyle name="计算 2 3 5" xfId="2649" xr:uid="{00000000-0005-0000-0000-0000020C0000}"/>
    <cellStyle name="计算 2 4" xfId="2334" xr:uid="{00000000-0005-0000-0000-0000030C0000}"/>
    <cellStyle name="计算 2 4 2" xfId="2967" xr:uid="{00000000-0005-0000-0000-0000040C0000}"/>
    <cellStyle name="计算 2 4 2 2" xfId="3626" xr:uid="{00000000-0005-0000-0000-0000050C0000}"/>
    <cellStyle name="计算 2 4 3" xfId="3151" xr:uid="{00000000-0005-0000-0000-0000060C0000}"/>
    <cellStyle name="计算 2 4 4" xfId="2663" xr:uid="{00000000-0005-0000-0000-0000070C0000}"/>
    <cellStyle name="计算 2 4 5" xfId="3168" xr:uid="{00000000-0005-0000-0000-0000080C0000}"/>
    <cellStyle name="计算 2 5" xfId="2642" xr:uid="{00000000-0005-0000-0000-0000090C0000}"/>
    <cellStyle name="计算 2 5 2" xfId="3470" xr:uid="{00000000-0005-0000-0000-00000A0C0000}"/>
    <cellStyle name="计算 2 6" xfId="3051" xr:uid="{00000000-0005-0000-0000-00000B0C0000}"/>
    <cellStyle name="计算 3" xfId="552" xr:uid="{00000000-0005-0000-0000-00000C0C0000}"/>
    <cellStyle name="计算 3 2" xfId="756" xr:uid="{00000000-0005-0000-0000-00000D0C0000}"/>
    <cellStyle name="计算 3 2 2" xfId="2767" xr:uid="{00000000-0005-0000-0000-00000E0C0000}"/>
    <cellStyle name="计算 3 2 2 2" xfId="3558" xr:uid="{00000000-0005-0000-0000-00000F0C0000}"/>
    <cellStyle name="计算 3 2 3" xfId="2895" xr:uid="{00000000-0005-0000-0000-0000100C0000}"/>
    <cellStyle name="计算 3 2 4" xfId="2686" xr:uid="{00000000-0005-0000-0000-0000110C0000}"/>
    <cellStyle name="计算 3 2 5" xfId="2853" xr:uid="{00000000-0005-0000-0000-0000120C0000}"/>
    <cellStyle name="计算 3 3" xfId="2673" xr:uid="{00000000-0005-0000-0000-0000130C0000}"/>
    <cellStyle name="计算 3 4" xfId="2928" xr:uid="{00000000-0005-0000-0000-0000140C0000}"/>
    <cellStyle name="计算 3 5" xfId="2608" xr:uid="{00000000-0005-0000-0000-0000150C0000}"/>
    <cellStyle name="计算 3 6" xfId="3014" xr:uid="{00000000-0005-0000-0000-0000160C0000}"/>
    <cellStyle name="计算 3 7" xfId="2747" xr:uid="{00000000-0005-0000-0000-0000170C0000}"/>
    <cellStyle name="计算 4" xfId="640" xr:uid="{00000000-0005-0000-0000-0000180C0000}"/>
    <cellStyle name="计算 4 2" xfId="775" xr:uid="{00000000-0005-0000-0000-0000190C0000}"/>
    <cellStyle name="计算 4 2 2" xfId="2786" xr:uid="{00000000-0005-0000-0000-00001A0C0000}"/>
    <cellStyle name="计算 4 2 2 2" xfId="3573" xr:uid="{00000000-0005-0000-0000-00001B0C0000}"/>
    <cellStyle name="计算 4 2 3" xfId="2561" xr:uid="{00000000-0005-0000-0000-00001C0C0000}"/>
    <cellStyle name="计算 4 2 4" xfId="2861" xr:uid="{00000000-0005-0000-0000-00001D0C0000}"/>
    <cellStyle name="计算 4 2 5" xfId="2547" xr:uid="{00000000-0005-0000-0000-00001E0C0000}"/>
    <cellStyle name="计算 4 3" xfId="2702" xr:uid="{00000000-0005-0000-0000-00001F0C0000}"/>
    <cellStyle name="计算 4 4" xfId="2912" xr:uid="{00000000-0005-0000-0000-0000200C0000}"/>
    <cellStyle name="计算 4 5" xfId="3171" xr:uid="{00000000-0005-0000-0000-0000210C0000}"/>
    <cellStyle name="计算 4 6" xfId="3174" xr:uid="{00000000-0005-0000-0000-0000220C0000}"/>
    <cellStyle name="计算 4 7" xfId="2692" xr:uid="{00000000-0005-0000-0000-0000230C0000}"/>
    <cellStyle name="计算 5" xfId="655" xr:uid="{00000000-0005-0000-0000-0000240C0000}"/>
    <cellStyle name="计算 5 2" xfId="2517" xr:uid="{00000000-0005-0000-0000-0000250C0000}"/>
    <cellStyle name="计算 5 2 2" xfId="3109" xr:uid="{00000000-0005-0000-0000-0000260C0000}"/>
    <cellStyle name="计算 5 2 2 2" xfId="3743" xr:uid="{00000000-0005-0000-0000-0000270C0000}"/>
    <cellStyle name="计算 5 2 3" xfId="3206" xr:uid="{00000000-0005-0000-0000-0000280C0000}"/>
    <cellStyle name="计算 5 2 4" xfId="3238" xr:uid="{00000000-0005-0000-0000-0000290C0000}"/>
    <cellStyle name="计算 5 2 5" xfId="3265" xr:uid="{00000000-0005-0000-0000-00002A0C0000}"/>
    <cellStyle name="计算 5 3" xfId="2708" xr:uid="{00000000-0005-0000-0000-00002B0C0000}"/>
    <cellStyle name="计算 5 3 2" xfId="3506" xr:uid="{00000000-0005-0000-0000-00002C0C0000}"/>
    <cellStyle name="计算 5 4" xfId="2910" xr:uid="{00000000-0005-0000-0000-00002D0C0000}"/>
    <cellStyle name="计算 5 5" xfId="2977" xr:uid="{00000000-0005-0000-0000-00002E0C0000}"/>
    <cellStyle name="计算 5 6" xfId="3243" xr:uid="{00000000-0005-0000-0000-00002F0C0000}"/>
    <cellStyle name="计算 6" xfId="2615" xr:uid="{00000000-0005-0000-0000-0000300C0000}"/>
    <cellStyle name="计算 6 2" xfId="3456" xr:uid="{00000000-0005-0000-0000-0000310C0000}"/>
    <cellStyle name="计算 7" xfId="2975" xr:uid="{00000000-0005-0000-0000-0000320C0000}"/>
    <cellStyle name="计算 8" xfId="429" xr:uid="{00000000-0005-0000-0000-0000330C0000}"/>
    <cellStyle name="貨幣 2" xfId="2794" xr:uid="{00000000-0005-0000-0000-0000D90D0000}"/>
    <cellStyle name="貨幣 2 2" xfId="3581" xr:uid="{00000000-0005-0000-0000-0000DA0D0000}"/>
    <cellStyle name="貨幣 3" xfId="3357" xr:uid="{00000000-0005-0000-0000-0000DB0D0000}"/>
    <cellStyle name="貨幣 4" xfId="783" xr:uid="{00000000-0005-0000-0000-0000DC0D0000}"/>
    <cellStyle name="貨幣[0]_cashflow" xfId="2272" xr:uid="{00000000-0005-0000-0000-0000DD0D0000}"/>
    <cellStyle name="货币_Fixed assets" xfId="641" xr:uid="{00000000-0005-0000-0000-0000EB0C0000}"/>
    <cellStyle name="资产" xfId="351" xr:uid="{00000000-0005-0000-0000-0000440D0000}"/>
    <cellStyle name="资产 10" xfId="430" xr:uid="{00000000-0005-0000-0000-0000450D0000}"/>
    <cellStyle name="资产 2" xfId="487" xr:uid="{00000000-0005-0000-0000-0000460D0000}"/>
    <cellStyle name="资产 2 2" xfId="736" xr:uid="{00000000-0005-0000-0000-0000470D0000}"/>
    <cellStyle name="资产 2 2 2" xfId="2493" xr:uid="{00000000-0005-0000-0000-0000480D0000}"/>
    <cellStyle name="资产 2 2 2 2" xfId="3086" xr:uid="{00000000-0005-0000-0000-0000490D0000}"/>
    <cellStyle name="资产 2 2 2 2 2" xfId="3721" xr:uid="{00000000-0005-0000-0000-00004A0D0000}"/>
    <cellStyle name="资产 2 2 2 3" xfId="3226" xr:uid="{00000000-0005-0000-0000-00004B0D0000}"/>
    <cellStyle name="资产 2 2 2 4" xfId="3199" xr:uid="{00000000-0005-0000-0000-00004C0D0000}"/>
    <cellStyle name="资产 2 2 2 5" xfId="3420" xr:uid="{00000000-0005-0000-0000-00004D0D0000}"/>
    <cellStyle name="资产 2 2 3" xfId="2750" xr:uid="{00000000-0005-0000-0000-00004E0D0000}"/>
    <cellStyle name="资产 2 2 3 2" xfId="3540" xr:uid="{00000000-0005-0000-0000-00004F0D0000}"/>
    <cellStyle name="资产 2 2 4" xfId="2867" xr:uid="{00000000-0005-0000-0000-0000500D0000}"/>
    <cellStyle name="资产 2 2 5" xfId="2963" xr:uid="{00000000-0005-0000-0000-0000510D0000}"/>
    <cellStyle name="资产 2 2 6" xfId="3329" xr:uid="{00000000-0005-0000-0000-0000520D0000}"/>
    <cellStyle name="资产 2 3" xfId="2386" xr:uid="{00000000-0005-0000-0000-0000530D0000}"/>
    <cellStyle name="资产 2 3 2" xfId="2999" xr:uid="{00000000-0005-0000-0000-0000540D0000}"/>
    <cellStyle name="资产 2 3 2 2" xfId="3648" xr:uid="{00000000-0005-0000-0000-0000550D0000}"/>
    <cellStyle name="资产 2 3 3" xfId="3130" xr:uid="{00000000-0005-0000-0000-0000560D0000}"/>
    <cellStyle name="资产 2 3 4" xfId="2678" xr:uid="{00000000-0005-0000-0000-0000570D0000}"/>
    <cellStyle name="资产 2 3 5" xfId="3383" xr:uid="{00000000-0005-0000-0000-0000580D0000}"/>
    <cellStyle name="资产 2 4" xfId="2643" xr:uid="{00000000-0005-0000-0000-0000590D0000}"/>
    <cellStyle name="资产 2 4 2" xfId="3471" xr:uid="{00000000-0005-0000-0000-00005A0D0000}"/>
    <cellStyle name="资产 2 5" xfId="2932" xr:uid="{00000000-0005-0000-0000-00005B0D0000}"/>
    <cellStyle name="资产 2 6" xfId="2900" xr:uid="{00000000-0005-0000-0000-00005C0D0000}"/>
    <cellStyle name="资产 2 7" xfId="3289" xr:uid="{00000000-0005-0000-0000-00005D0D0000}"/>
    <cellStyle name="资产 3" xfId="553" xr:uid="{00000000-0005-0000-0000-00005E0D0000}"/>
    <cellStyle name="资产 3 2" xfId="757" xr:uid="{00000000-0005-0000-0000-00005F0D0000}"/>
    <cellStyle name="资产 3 2 2" xfId="2503" xr:uid="{00000000-0005-0000-0000-0000600D0000}"/>
    <cellStyle name="资产 3 2 2 2" xfId="3095" xr:uid="{00000000-0005-0000-0000-0000610D0000}"/>
    <cellStyle name="资产 3 2 2 2 2" xfId="3729" xr:uid="{00000000-0005-0000-0000-0000620D0000}"/>
    <cellStyle name="资产 3 2 2 3" xfId="3229" xr:uid="{00000000-0005-0000-0000-0000630D0000}"/>
    <cellStyle name="资产 3 2 2 4" xfId="2540" xr:uid="{00000000-0005-0000-0000-0000640D0000}"/>
    <cellStyle name="资产 3 2 2 5" xfId="3428" xr:uid="{00000000-0005-0000-0000-0000650D0000}"/>
    <cellStyle name="资产 3 2 3" xfId="2768" xr:uid="{00000000-0005-0000-0000-0000660D0000}"/>
    <cellStyle name="资产 3 2 3 2" xfId="3559" xr:uid="{00000000-0005-0000-0000-0000670D0000}"/>
    <cellStyle name="资产 3 2 4" xfId="2533" xr:uid="{00000000-0005-0000-0000-0000680D0000}"/>
    <cellStyle name="资产 3 2 5" xfId="2723" xr:uid="{00000000-0005-0000-0000-0000690D0000}"/>
    <cellStyle name="资产 3 2 6" xfId="3344" xr:uid="{00000000-0005-0000-0000-00006A0D0000}"/>
    <cellStyle name="资产 3 3" xfId="2397" xr:uid="{00000000-0005-0000-0000-00006B0D0000}"/>
    <cellStyle name="资产 3 3 2" xfId="3007" xr:uid="{00000000-0005-0000-0000-00006C0D0000}"/>
    <cellStyle name="资产 3 3 2 2" xfId="3654" xr:uid="{00000000-0005-0000-0000-00006D0D0000}"/>
    <cellStyle name="资产 3 3 3" xfId="3131" xr:uid="{00000000-0005-0000-0000-00006E0D0000}"/>
    <cellStyle name="资产 3 3 4" xfId="3198" xr:uid="{00000000-0005-0000-0000-00006F0D0000}"/>
    <cellStyle name="资产 3 3 5" xfId="3387" xr:uid="{00000000-0005-0000-0000-0000700D0000}"/>
    <cellStyle name="资产 3 4" xfId="2674" xr:uid="{00000000-0005-0000-0000-0000710D0000}"/>
    <cellStyle name="资产 3 4 2" xfId="3487" xr:uid="{00000000-0005-0000-0000-0000720D0000}"/>
    <cellStyle name="资产 3 5" xfId="3025" xr:uid="{00000000-0005-0000-0000-0000730D0000}"/>
    <cellStyle name="资产 3 6" xfId="2940" xr:uid="{00000000-0005-0000-0000-0000740D0000}"/>
    <cellStyle name="资产 3 7" xfId="3304" xr:uid="{00000000-0005-0000-0000-0000750D0000}"/>
    <cellStyle name="资产 4" xfId="656" xr:uid="{00000000-0005-0000-0000-0000760D0000}"/>
    <cellStyle name="资产 4 2" xfId="780" xr:uid="{00000000-0005-0000-0000-0000770D0000}"/>
    <cellStyle name="资产 4 2 2" xfId="2518" xr:uid="{00000000-0005-0000-0000-0000780D0000}"/>
    <cellStyle name="资产 4 2 2 2" xfId="3110" xr:uid="{00000000-0005-0000-0000-0000790D0000}"/>
    <cellStyle name="资产 4 2 2 2 2" xfId="3744" xr:uid="{00000000-0005-0000-0000-00007A0D0000}"/>
    <cellStyle name="资产 4 2 2 3" xfId="3239" xr:uid="{00000000-0005-0000-0000-00007B0D0000}"/>
    <cellStyle name="资产 4 2 2 4" xfId="3266" xr:uid="{00000000-0005-0000-0000-00007C0D0000}"/>
    <cellStyle name="资产 4 2 2 5" xfId="3433" xr:uid="{00000000-0005-0000-0000-00007D0D0000}"/>
    <cellStyle name="资产 4 2 3" xfId="2791" xr:uid="{00000000-0005-0000-0000-00007E0D0000}"/>
    <cellStyle name="资产 4 2 3 2" xfId="3578" xr:uid="{00000000-0005-0000-0000-00007F0D0000}"/>
    <cellStyle name="资产 4 2 4" xfId="2859" xr:uid="{00000000-0005-0000-0000-0000800D0000}"/>
    <cellStyle name="资产 4 2 5" xfId="2890" xr:uid="{00000000-0005-0000-0000-0000810D0000}"/>
    <cellStyle name="资产 4 2 6" xfId="3354" xr:uid="{00000000-0005-0000-0000-0000820D0000}"/>
    <cellStyle name="资产 4 3" xfId="2430" xr:uid="{00000000-0005-0000-0000-0000830D0000}"/>
    <cellStyle name="资产 4 3 2" xfId="3026" xr:uid="{00000000-0005-0000-0000-0000840D0000}"/>
    <cellStyle name="资产 4 3 2 2" xfId="3666" xr:uid="{00000000-0005-0000-0000-0000850D0000}"/>
    <cellStyle name="资产 4 3 3" xfId="3200" xr:uid="{00000000-0005-0000-0000-0000860D0000}"/>
    <cellStyle name="资产 4 3 4" xfId="3124" xr:uid="{00000000-0005-0000-0000-0000870D0000}"/>
    <cellStyle name="资产 4 3 5" xfId="3391" xr:uid="{00000000-0005-0000-0000-0000880D0000}"/>
    <cellStyle name="资产 4 4" xfId="2709" xr:uid="{00000000-0005-0000-0000-0000890D0000}"/>
    <cellStyle name="资产 4 4 2" xfId="3507" xr:uid="{00000000-0005-0000-0000-00008A0D0000}"/>
    <cellStyle name="资产 4 5" xfId="2885" xr:uid="{00000000-0005-0000-0000-00008B0D0000}"/>
    <cellStyle name="资产 4 6" xfId="3094" xr:uid="{00000000-0005-0000-0000-00008C0D0000}"/>
    <cellStyle name="资产 4 7" xfId="3315" xr:uid="{00000000-0005-0000-0000-00008D0D0000}"/>
    <cellStyle name="资产 5" xfId="681" xr:uid="{00000000-0005-0000-0000-00008E0D0000}"/>
    <cellStyle name="资产 5 2" xfId="2484" xr:uid="{00000000-0005-0000-0000-00008F0D0000}"/>
    <cellStyle name="资产 5 2 2" xfId="3077" xr:uid="{00000000-0005-0000-0000-0000900D0000}"/>
    <cellStyle name="资产 5 2 2 2" xfId="3713" xr:uid="{00000000-0005-0000-0000-0000910D0000}"/>
    <cellStyle name="资产 5 2 3" xfId="2555" xr:uid="{00000000-0005-0000-0000-0000920D0000}"/>
    <cellStyle name="资产 5 2 4" xfId="2953" xr:uid="{00000000-0005-0000-0000-0000930D0000}"/>
    <cellStyle name="资产 5 2 5" xfId="3418" xr:uid="{00000000-0005-0000-0000-0000940D0000}"/>
    <cellStyle name="资产 5 3" xfId="2375" xr:uid="{00000000-0005-0000-0000-0000950D0000}"/>
    <cellStyle name="资产 5 3 2" xfId="2988" xr:uid="{00000000-0005-0000-0000-0000960D0000}"/>
    <cellStyle name="资产 5 3 2 2" xfId="3638" xr:uid="{00000000-0005-0000-0000-0000970D0000}"/>
    <cellStyle name="资产 5 3 3" xfId="3143" xr:uid="{00000000-0005-0000-0000-0000980D0000}"/>
    <cellStyle name="资产 5 3 4" xfId="2813" xr:uid="{00000000-0005-0000-0000-0000990D0000}"/>
    <cellStyle name="资产 5 3 5" xfId="3382" xr:uid="{00000000-0005-0000-0000-00009A0D0000}"/>
    <cellStyle name="资产 5 4" xfId="2729" xr:uid="{00000000-0005-0000-0000-00009B0D0000}"/>
    <cellStyle name="资产 5 4 2" xfId="3526" xr:uid="{00000000-0005-0000-0000-00009C0D0000}"/>
    <cellStyle name="资产 5 5" xfId="2586" xr:uid="{00000000-0005-0000-0000-00009D0D0000}"/>
    <cellStyle name="资产 5 6" xfId="3127" xr:uid="{00000000-0005-0000-0000-00009E0D0000}"/>
    <cellStyle name="资产 5 7" xfId="3326" xr:uid="{00000000-0005-0000-0000-00009F0D0000}"/>
    <cellStyle name="资产 6" xfId="795" xr:uid="{00000000-0005-0000-0000-0000A00D0000}"/>
    <cellStyle name="资产 6 2" xfId="2444" xr:uid="{00000000-0005-0000-0000-0000A10D0000}"/>
    <cellStyle name="资产 6 2 2" xfId="3040" xr:uid="{00000000-0005-0000-0000-0000A20D0000}"/>
    <cellStyle name="资产 6 2 2 2" xfId="3676" xr:uid="{00000000-0005-0000-0000-0000A30D0000}"/>
    <cellStyle name="资产 6 2 3" xfId="2926" xr:uid="{00000000-0005-0000-0000-0000A40D0000}"/>
    <cellStyle name="资产 6 2 4" xfId="3169" xr:uid="{00000000-0005-0000-0000-0000A50D0000}"/>
    <cellStyle name="资产 6 2 5" xfId="3394" xr:uid="{00000000-0005-0000-0000-0000A60D0000}"/>
    <cellStyle name="资产 6 3" xfId="2806" xr:uid="{00000000-0005-0000-0000-0000A70D0000}"/>
    <cellStyle name="资产 6 3 2" xfId="3593" xr:uid="{00000000-0005-0000-0000-0000A80D0000}"/>
    <cellStyle name="资产 6 4" xfId="2854" xr:uid="{00000000-0005-0000-0000-0000A90D0000}"/>
    <cellStyle name="资产 6 5" xfId="2917" xr:uid="{00000000-0005-0000-0000-0000AA0D0000}"/>
    <cellStyle name="资产 6 6" xfId="3360" xr:uid="{00000000-0005-0000-0000-0000AB0D0000}"/>
    <cellStyle name="资产 7" xfId="833" xr:uid="{00000000-0005-0000-0000-0000AC0D0000}"/>
    <cellStyle name="资产 7 2" xfId="2827" xr:uid="{00000000-0005-0000-0000-0000AD0D0000}"/>
    <cellStyle name="资产 7 2 2" xfId="3607" xr:uid="{00000000-0005-0000-0000-0000AE0D0000}"/>
    <cellStyle name="资产 7 3" xfId="2925" xr:uid="{00000000-0005-0000-0000-0000AF0D0000}"/>
    <cellStyle name="资产 7 4" xfId="3252" xr:uid="{00000000-0005-0000-0000-0000B00D0000}"/>
    <cellStyle name="资产 7 5" xfId="3365" xr:uid="{00000000-0005-0000-0000-0000B10D0000}"/>
    <cellStyle name="资产 8" xfId="2616" xr:uid="{00000000-0005-0000-0000-0000B20D0000}"/>
    <cellStyle name="资产 8 2" xfId="3457" xr:uid="{00000000-0005-0000-0000-0000B30D0000}"/>
    <cellStyle name="资产 9" xfId="3280" xr:uid="{00000000-0005-0000-0000-0000B40D0000}"/>
    <cellStyle name="超级链接" xfId="2277" xr:uid="{00000000-0005-0000-0000-0000090E0000}"/>
    <cellStyle name="超連結 2" xfId="569" xr:uid="{00000000-0005-0000-0000-00000A0E0000}"/>
    <cellStyle name="超連結(D0" xfId="327" xr:uid="{00000000-0005-0000-0000-00000B0E0000}"/>
    <cellStyle name="超链接 2" xfId="619" xr:uid="{00000000-0005-0000-0000-00000C0E0000}"/>
    <cellStyle name="超链接 2 2" xfId="2414" xr:uid="{00000000-0005-0000-0000-00000D0E0000}"/>
    <cellStyle name="超链接 2 3" xfId="2358" xr:uid="{00000000-0005-0000-0000-00000E0E0000}"/>
    <cellStyle name="超链接_Financial Dec 31 2007-Palm Rich Holding Limited 2008.03.03" xfId="814" xr:uid="{00000000-0005-0000-0000-00000F0E0000}"/>
    <cellStyle name="输入" xfId="331" xr:uid="{00000000-0005-0000-0000-0000230E0000}"/>
    <cellStyle name="输入 2" xfId="476" xr:uid="{00000000-0005-0000-0000-0000240E0000}"/>
    <cellStyle name="输入 2 2" xfId="725" xr:uid="{00000000-0005-0000-0000-0000250E0000}"/>
    <cellStyle name="输入 2 2 2" xfId="2489" xr:uid="{00000000-0005-0000-0000-0000260E0000}"/>
    <cellStyle name="输入 2 2 2 2" xfId="3082" xr:uid="{00000000-0005-0000-0000-0000270E0000}"/>
    <cellStyle name="输入 2 2 2 2 2" xfId="3717" xr:uid="{00000000-0005-0000-0000-0000280E0000}"/>
    <cellStyle name="输入 2 2 2 3" xfId="3193" xr:uid="{00000000-0005-0000-0000-0000290E0000}"/>
    <cellStyle name="输入 2 2 2 4" xfId="2542" xr:uid="{00000000-0005-0000-0000-00002A0E0000}"/>
    <cellStyle name="输入 2 2 2 5" xfId="3072" xr:uid="{00000000-0005-0000-0000-00002B0E0000}"/>
    <cellStyle name="输入 2 2 3" xfId="2746" xr:uid="{00000000-0005-0000-0000-00002C0E0000}"/>
    <cellStyle name="输入 2 2 3 2" xfId="3536" xr:uid="{00000000-0005-0000-0000-00002D0E0000}"/>
    <cellStyle name="输入 2 2 4" xfId="2627" xr:uid="{00000000-0005-0000-0000-00002E0E0000}"/>
    <cellStyle name="输入 2 2 5" xfId="2579" xr:uid="{00000000-0005-0000-0000-00002F0E0000}"/>
    <cellStyle name="输入 2 2 6" xfId="2546" xr:uid="{00000000-0005-0000-0000-0000300E0000}"/>
    <cellStyle name="输入 2 3" xfId="2467" xr:uid="{00000000-0005-0000-0000-0000310E0000}"/>
    <cellStyle name="输入 2 3 2" xfId="3061" xr:uid="{00000000-0005-0000-0000-0000320E0000}"/>
    <cellStyle name="输入 2 3 2 2" xfId="3698" xr:uid="{00000000-0005-0000-0000-0000330E0000}"/>
    <cellStyle name="输入 2 3 3" xfId="3187" xr:uid="{00000000-0005-0000-0000-0000340E0000}"/>
    <cellStyle name="输入 2 3 4" xfId="2534" xr:uid="{00000000-0005-0000-0000-0000350E0000}"/>
    <cellStyle name="输入 2 3 5" xfId="2644" xr:uid="{00000000-0005-0000-0000-0000360E0000}"/>
    <cellStyle name="输入 2 4" xfId="2335" xr:uid="{00000000-0005-0000-0000-0000370E0000}"/>
    <cellStyle name="输入 2 4 2" xfId="2968" xr:uid="{00000000-0005-0000-0000-0000380E0000}"/>
    <cellStyle name="输入 2 4 2 2" xfId="3627" xr:uid="{00000000-0005-0000-0000-0000390E0000}"/>
    <cellStyle name="输入 2 4 3" xfId="3152" xr:uid="{00000000-0005-0000-0000-00003A0E0000}"/>
    <cellStyle name="输入 2 4 4" xfId="3149" xr:uid="{00000000-0005-0000-0000-00003B0E0000}"/>
    <cellStyle name="输入 2 4 5" xfId="3182" xr:uid="{00000000-0005-0000-0000-00003C0E0000}"/>
    <cellStyle name="输入 2 5" xfId="2639" xr:uid="{00000000-0005-0000-0000-00003D0E0000}"/>
    <cellStyle name="输入 2 5 2" xfId="3467" xr:uid="{00000000-0005-0000-0000-00003E0E0000}"/>
    <cellStyle name="输入 2 6" xfId="2598" xr:uid="{00000000-0005-0000-0000-00003F0E0000}"/>
    <cellStyle name="输入 3" xfId="542" xr:uid="{00000000-0005-0000-0000-0000400E0000}"/>
    <cellStyle name="输入 3 2" xfId="752" xr:uid="{00000000-0005-0000-0000-0000410E0000}"/>
    <cellStyle name="输入 3 2 2" xfId="2765" xr:uid="{00000000-0005-0000-0000-0000420E0000}"/>
    <cellStyle name="输入 3 2 2 2" xfId="3555" xr:uid="{00000000-0005-0000-0000-0000430E0000}"/>
    <cellStyle name="输入 3 2 3" xfId="2899" xr:uid="{00000000-0005-0000-0000-0000440E0000}"/>
    <cellStyle name="输入 3 2 4" xfId="2864" xr:uid="{00000000-0005-0000-0000-0000450E0000}"/>
    <cellStyle name="输入 3 2 5" xfId="2924" xr:uid="{00000000-0005-0000-0000-0000460E0000}"/>
    <cellStyle name="输入 3 3" xfId="2669" xr:uid="{00000000-0005-0000-0000-0000470E0000}"/>
    <cellStyle name="输入 3 4" xfId="2588" xr:uid="{00000000-0005-0000-0000-0000480E0000}"/>
    <cellStyle name="输入 3 5" xfId="3191" xr:uid="{00000000-0005-0000-0000-0000490E0000}"/>
    <cellStyle name="输入 3 6" xfId="2640" xr:uid="{00000000-0005-0000-0000-00004A0E0000}"/>
    <cellStyle name="输入 3 7" xfId="3247" xr:uid="{00000000-0005-0000-0000-00004B0E0000}"/>
    <cellStyle name="输入 4" xfId="635" xr:uid="{00000000-0005-0000-0000-00004C0E0000}"/>
    <cellStyle name="输入 4 2" xfId="772" xr:uid="{00000000-0005-0000-0000-00004D0E0000}"/>
    <cellStyle name="输入 4 2 2" xfId="2783" xr:uid="{00000000-0005-0000-0000-00004E0E0000}"/>
    <cellStyle name="输入 4 2 2 2" xfId="3570" xr:uid="{00000000-0005-0000-0000-00004F0E0000}"/>
    <cellStyle name="输入 4 2 3" xfId="2894" xr:uid="{00000000-0005-0000-0000-0000500E0000}"/>
    <cellStyle name="输入 4 2 4" xfId="2862" xr:uid="{00000000-0005-0000-0000-0000510E0000}"/>
    <cellStyle name="输入 4 2 5" xfId="2607" xr:uid="{00000000-0005-0000-0000-0000520E0000}"/>
    <cellStyle name="输入 4 3" xfId="2698" xr:uid="{00000000-0005-0000-0000-0000530E0000}"/>
    <cellStyle name="输入 4 4" xfId="2915" xr:uid="{00000000-0005-0000-0000-0000540E0000}"/>
    <cellStyle name="输入 4 5" xfId="2531" xr:uid="{00000000-0005-0000-0000-0000550E0000}"/>
    <cellStyle name="输入 4 6" xfId="2877" xr:uid="{00000000-0005-0000-0000-0000560E0000}"/>
    <cellStyle name="输入 4 7" xfId="3145" xr:uid="{00000000-0005-0000-0000-0000570E0000}"/>
    <cellStyle name="输入 5" xfId="621" xr:uid="{00000000-0005-0000-0000-0000580E0000}"/>
    <cellStyle name="输入 5 2" xfId="2508" xr:uid="{00000000-0005-0000-0000-0000590E0000}"/>
    <cellStyle name="输入 5 2 2" xfId="3100" xr:uid="{00000000-0005-0000-0000-00005A0E0000}"/>
    <cellStyle name="输入 5 2 2 2" xfId="3734" xr:uid="{00000000-0005-0000-0000-00005B0E0000}"/>
    <cellStyle name="输入 5 2 3" xfId="3202" xr:uid="{00000000-0005-0000-0000-00005C0E0000}"/>
    <cellStyle name="输入 5 2 4" xfId="3230" xr:uid="{00000000-0005-0000-0000-00005D0E0000}"/>
    <cellStyle name="输入 5 2 5" xfId="3246" xr:uid="{00000000-0005-0000-0000-00005E0E0000}"/>
    <cellStyle name="输入 5 3" xfId="2689" xr:uid="{00000000-0005-0000-0000-00005F0E0000}"/>
    <cellStyle name="输入 5 3 2" xfId="3493" xr:uid="{00000000-0005-0000-0000-0000600E0000}"/>
    <cellStyle name="输入 5 4" xfId="2986" xr:uid="{00000000-0005-0000-0000-0000610E0000}"/>
    <cellStyle name="输入 5 5" xfId="2881" xr:uid="{00000000-0005-0000-0000-0000620E0000}"/>
    <cellStyle name="输入 5 6" xfId="2849" xr:uid="{00000000-0005-0000-0000-0000630E0000}"/>
    <cellStyle name="输入 6" xfId="2614" xr:uid="{00000000-0005-0000-0000-0000640E0000}"/>
    <cellStyle name="输入 6 2" xfId="3453" xr:uid="{00000000-0005-0000-0000-0000650E0000}"/>
    <cellStyle name="输入 7" xfId="2603" xr:uid="{00000000-0005-0000-0000-0000660E0000}"/>
    <cellStyle name="输入 8" xfId="419" xr:uid="{00000000-0005-0000-0000-0000670E0000}"/>
    <cellStyle name="输出" xfId="332" xr:uid="{00000000-0005-0000-0000-0000680E0000}"/>
    <cellStyle name="输出 2" xfId="477" xr:uid="{00000000-0005-0000-0000-0000690E0000}"/>
    <cellStyle name="输出 2 2" xfId="726" xr:uid="{00000000-0005-0000-0000-00006A0E0000}"/>
    <cellStyle name="输出 2 2 2" xfId="2490" xr:uid="{00000000-0005-0000-0000-00006B0E0000}"/>
    <cellStyle name="输出 2 2 2 2" xfId="3083" xr:uid="{00000000-0005-0000-0000-00006C0E0000}"/>
    <cellStyle name="输出 2 2 2 2 2" xfId="3718" xr:uid="{00000000-0005-0000-0000-00006D0E0000}"/>
    <cellStyle name="输出 2 2 2 3" xfId="3194" xr:uid="{00000000-0005-0000-0000-00006E0E0000}"/>
    <cellStyle name="输出 2 2 2 4" xfId="3257" xr:uid="{00000000-0005-0000-0000-00006F0E0000}"/>
    <cellStyle name="输出 2 2 3" xfId="2385" xr:uid="{00000000-0005-0000-0000-0000700E0000}"/>
    <cellStyle name="输出 2 2 3 2" xfId="2998" xr:uid="{00000000-0005-0000-0000-0000710E0000}"/>
    <cellStyle name="输出 2 2 3 2 2" xfId="3647" xr:uid="{00000000-0005-0000-0000-0000720E0000}"/>
    <cellStyle name="输出 2 2 3 3" xfId="3163" xr:uid="{00000000-0005-0000-0000-0000730E0000}"/>
    <cellStyle name="输出 2 2 3 4" xfId="3242" xr:uid="{00000000-0005-0000-0000-0000740E0000}"/>
    <cellStyle name="输出 2 2 4" xfId="2568" xr:uid="{00000000-0005-0000-0000-0000750E0000}"/>
    <cellStyle name="输出 2 2 5" xfId="2892" xr:uid="{00000000-0005-0000-0000-0000760E0000}"/>
    <cellStyle name="输出 2 2 6" xfId="2541" xr:uid="{00000000-0005-0000-0000-0000770E0000}"/>
    <cellStyle name="输出 2 3" xfId="2468" xr:uid="{00000000-0005-0000-0000-0000780E0000}"/>
    <cellStyle name="输出 2 3 2" xfId="3062" xr:uid="{00000000-0005-0000-0000-0000790E0000}"/>
    <cellStyle name="输出 2 3 2 2" xfId="3699" xr:uid="{00000000-0005-0000-0000-00007A0E0000}"/>
    <cellStyle name="输出 2 3 3" xfId="3188" xr:uid="{00000000-0005-0000-0000-00007B0E0000}"/>
    <cellStyle name="输出 2 3 4" xfId="3255" xr:uid="{00000000-0005-0000-0000-00007C0E0000}"/>
    <cellStyle name="输出 2 4" xfId="2336" xr:uid="{00000000-0005-0000-0000-00007D0E0000}"/>
    <cellStyle name="输出 2 4 2" xfId="2969" xr:uid="{00000000-0005-0000-0000-00007E0E0000}"/>
    <cellStyle name="输出 2 4 2 2" xfId="3628" xr:uid="{00000000-0005-0000-0000-00007F0E0000}"/>
    <cellStyle name="输出 2 4 3" xfId="3153" xr:uid="{00000000-0005-0000-0000-0000800E0000}"/>
    <cellStyle name="输出 2 4 4" xfId="2591" xr:uid="{00000000-0005-0000-0000-0000810E0000}"/>
    <cellStyle name="输出 2 5" xfId="2597" xr:uid="{00000000-0005-0000-0000-0000820E0000}"/>
    <cellStyle name="输出 2 5 2" xfId="3468" xr:uid="{00000000-0005-0000-0000-0000830E0000}"/>
    <cellStyle name="输出 3" xfId="543" xr:uid="{00000000-0005-0000-0000-0000840E0000}"/>
    <cellStyle name="输出 3 2" xfId="753" xr:uid="{00000000-0005-0000-0000-0000850E0000}"/>
    <cellStyle name="输出 3 2 2" xfId="2434" xr:uid="{00000000-0005-0000-0000-0000860E0000}"/>
    <cellStyle name="输出 3 2 2 2" xfId="3030" xr:uid="{00000000-0005-0000-0000-0000870E0000}"/>
    <cellStyle name="输出 3 2 2 2 2" xfId="3667" xr:uid="{00000000-0005-0000-0000-0000880E0000}"/>
    <cellStyle name="输出 3 2 2 3" xfId="3177" xr:uid="{00000000-0005-0000-0000-0000890E0000}"/>
    <cellStyle name="输出 3 2 2 4" xfId="3250" xr:uid="{00000000-0005-0000-0000-00008A0E0000}"/>
    <cellStyle name="输出 3 2 3" xfId="2898" xr:uid="{00000000-0005-0000-0000-00008B0E0000}"/>
    <cellStyle name="输出 3 2 4" xfId="2623" xr:uid="{00000000-0005-0000-0000-00008C0E0000}"/>
    <cellStyle name="输出 3 2 5" xfId="2744" xr:uid="{00000000-0005-0000-0000-00008D0E0000}"/>
    <cellStyle name="输出 3 3" xfId="2396" xr:uid="{00000000-0005-0000-0000-00008E0E0000}"/>
    <cellStyle name="输出 3 3 2" xfId="3006" xr:uid="{00000000-0005-0000-0000-00008F0E0000}"/>
    <cellStyle name="输出 3 3 2 2" xfId="3653" xr:uid="{00000000-0005-0000-0000-0000900E0000}"/>
    <cellStyle name="输出 3 3 3" xfId="3167" xr:uid="{00000000-0005-0000-0000-0000910E0000}"/>
    <cellStyle name="输出 3 3 4" xfId="3244" xr:uid="{00000000-0005-0000-0000-0000920E0000}"/>
    <cellStyle name="输出 3 4" xfId="2670" xr:uid="{00000000-0005-0000-0000-0000930E0000}"/>
    <cellStyle name="输出 3 5" xfId="2587" xr:uid="{00000000-0005-0000-0000-0000940E0000}"/>
    <cellStyle name="输出 3 6" xfId="2576" xr:uid="{00000000-0005-0000-0000-0000950E0000}"/>
    <cellStyle name="输出 3 7" xfId="2883" xr:uid="{00000000-0005-0000-0000-0000960E0000}"/>
    <cellStyle name="输出 3 8" xfId="2610" xr:uid="{00000000-0005-0000-0000-0000970E0000}"/>
    <cellStyle name="输出 4" xfId="636" xr:uid="{00000000-0005-0000-0000-0000980E0000}"/>
    <cellStyle name="输出 4 2" xfId="2513" xr:uid="{00000000-0005-0000-0000-0000990E0000}"/>
    <cellStyle name="输出 4 2 2" xfId="3105" xr:uid="{00000000-0005-0000-0000-00009A0E0000}"/>
    <cellStyle name="输出 4 2 2 2" xfId="3739" xr:uid="{00000000-0005-0000-0000-00009B0E0000}"/>
    <cellStyle name="输出 4 2 3" xfId="3204" xr:uid="{00000000-0005-0000-0000-00009C0E0000}"/>
    <cellStyle name="输出 4 2 4" xfId="3259" xr:uid="{00000000-0005-0000-0000-00009D0E0000}"/>
    <cellStyle name="输出 4 3" xfId="2424" xr:uid="{00000000-0005-0000-0000-00009E0E0000}"/>
    <cellStyle name="输出 4 3 2" xfId="3021" xr:uid="{00000000-0005-0000-0000-00009F0E0000}"/>
    <cellStyle name="输出 4 3 2 2" xfId="3663" xr:uid="{00000000-0005-0000-0000-0000A00E0000}"/>
    <cellStyle name="输出 4 3 3" xfId="3173" xr:uid="{00000000-0005-0000-0000-0000A10E0000}"/>
    <cellStyle name="输出 4 3 4" xfId="3245" xr:uid="{00000000-0005-0000-0000-0000A20E0000}"/>
    <cellStyle name="输出 4 4" xfId="2914" xr:uid="{00000000-0005-0000-0000-0000A30E0000}"/>
    <cellStyle name="输出 4 5" xfId="3050" xr:uid="{00000000-0005-0000-0000-0000A40E0000}"/>
    <cellStyle name="输出 4 6" xfId="3027" xr:uid="{00000000-0005-0000-0000-0000A50E0000}"/>
    <cellStyle name="输出 5" xfId="794" xr:uid="{00000000-0005-0000-0000-0000A60E0000}"/>
    <cellStyle name="输出 5 2" xfId="2442" xr:uid="{00000000-0005-0000-0000-0000A70E0000}"/>
    <cellStyle name="输出 5 2 2" xfId="3038" xr:uid="{00000000-0005-0000-0000-0000A80E0000}"/>
    <cellStyle name="输出 5 2 2 2" xfId="3674" xr:uid="{00000000-0005-0000-0000-0000A90E0000}"/>
    <cellStyle name="输出 5 2 3" xfId="3179" xr:uid="{00000000-0005-0000-0000-0000AA0E0000}"/>
    <cellStyle name="输出 5 2 4" xfId="3251" xr:uid="{00000000-0005-0000-0000-0000AB0E0000}"/>
    <cellStyle name="输出 5 3" xfId="2805" xr:uid="{00000000-0005-0000-0000-0000AC0E0000}"/>
    <cellStyle name="输出 5 3 2" xfId="3592" xr:uid="{00000000-0005-0000-0000-0000AD0E0000}"/>
    <cellStyle name="输出 5 4" xfId="2558" xr:uid="{00000000-0005-0000-0000-0000AE0E0000}"/>
    <cellStyle name="输出 5 5" xfId="2834" xr:uid="{00000000-0005-0000-0000-0000AF0E0000}"/>
    <cellStyle name="输出 6" xfId="2602" xr:uid="{00000000-0005-0000-0000-0000B00E0000}"/>
    <cellStyle name="输出 6 2" xfId="3454" xr:uid="{00000000-0005-0000-0000-0000B10E0000}"/>
    <cellStyle name="输出 7" xfId="420" xr:uid="{00000000-0005-0000-0000-0000B20E0000}"/>
    <cellStyle name="适中" xfId="317" xr:uid="{00000000-0005-0000-0000-0000B50D0000}"/>
    <cellStyle name="适中 2" xfId="468" xr:uid="{00000000-0005-0000-0000-0000B60D0000}"/>
    <cellStyle name="适中 2 2" xfId="717" xr:uid="{00000000-0005-0000-0000-0000B70D0000}"/>
    <cellStyle name="适中 2 3" xfId="2268" xr:uid="{00000000-0005-0000-0000-0000B80D0000}"/>
    <cellStyle name="适中 3" xfId="534" xr:uid="{00000000-0005-0000-0000-0000B90D0000}"/>
    <cellStyle name="适中 4" xfId="411" xr:uid="{00000000-0005-0000-0000-0000BA0D0000}"/>
    <cellStyle name="通貨 [0.00]_１１月価格表" xfId="318" xr:uid="{00000000-0005-0000-0000-0000DE0D0000}"/>
    <cellStyle name="通貨_１１月価格表" xfId="319" xr:uid="{00000000-0005-0000-0000-0000DF0D0000}"/>
    <cellStyle name="都寞_1999爛笢惆桶訧蹋" xfId="2273" xr:uid="{00000000-0005-0000-0000-0000E00D0000}"/>
    <cellStyle name="钎霖_(type)醚褒" xfId="2337" xr:uid="{00000000-0005-0000-0000-0000EC0C0000}"/>
    <cellStyle name="钦魂" xfId="2338" xr:uid="{00000000-0005-0000-0000-0000300D0000}"/>
    <cellStyle name="链接单元格" xfId="352" xr:uid="{00000000-0005-0000-0000-0000100E0000}"/>
    <cellStyle name="链接单元格 2" xfId="488" xr:uid="{00000000-0005-0000-0000-0000110E0000}"/>
    <cellStyle name="链接单元格 2 2" xfId="737" xr:uid="{00000000-0005-0000-0000-0000120E0000}"/>
    <cellStyle name="链接单元格 2 2 2" xfId="2522" xr:uid="{00000000-0005-0000-0000-0000130E0000}"/>
    <cellStyle name="链接单元格 2 3" xfId="2339" xr:uid="{00000000-0005-0000-0000-0000140E0000}"/>
    <cellStyle name="链接单元格 2 3 2" xfId="2970" xr:uid="{00000000-0005-0000-0000-0000150E0000}"/>
    <cellStyle name="链接单元格 2 4" xfId="2520" xr:uid="{00000000-0005-0000-0000-0000160E0000}"/>
    <cellStyle name="链接单元格 3" xfId="555" xr:uid="{00000000-0005-0000-0000-0000170E0000}"/>
    <cellStyle name="链接单元格 3 2" xfId="2524" xr:uid="{00000000-0005-0000-0000-0000180E0000}"/>
    <cellStyle name="链接单元格 4" xfId="2378" xr:uid="{00000000-0005-0000-0000-0000190E0000}"/>
    <cellStyle name="链接单元格 5" xfId="431" xr:uid="{00000000-0005-0000-0000-00001A0E0000}"/>
    <cellStyle name="閉撰蟈諉" xfId="2274" xr:uid="{00000000-0005-0000-0000-0000E10D0000}"/>
    <cellStyle name="隨後的超連結) Liab" xfId="334" xr:uid="{00000000-0005-0000-0000-0000D00E0000}"/>
    <cellStyle name="霓付 [0]_(type)醚褒" xfId="2305" xr:uid="{00000000-0005-0000-0000-0000D10E0000}"/>
    <cellStyle name="霓付_(type)醚褒" xfId="2306" xr:uid="{00000000-0005-0000-0000-0000D20E0000}"/>
    <cellStyle name="鱔? [0]_95" xfId="2314" xr:uid="{00000000-0005-0000-0000-0000DF0E0000}"/>
    <cellStyle name="鱔?_95" xfId="2315" xr:uid="{00000000-0005-0000-0000-0000E00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topLeftCell="A57" zoomScale="85" zoomScaleNormal="85" workbookViewId="0">
      <selection activeCell="B84" sqref="B84"/>
    </sheetView>
  </sheetViews>
  <sheetFormatPr defaultRowHeight="15"/>
  <cols>
    <col min="1" max="1" width="39.28515625" customWidth="1"/>
    <col min="2" max="2" width="23.28515625" customWidth="1"/>
  </cols>
  <sheetData>
    <row r="1" spans="1:2">
      <c r="A1" s="6" t="s">
        <v>0</v>
      </c>
      <c r="B1" s="14"/>
    </row>
    <row r="2" spans="1:2">
      <c r="A2" s="6" t="s">
        <v>1</v>
      </c>
      <c r="B2" s="26"/>
    </row>
    <row r="3" spans="1:2">
      <c r="A3" s="6"/>
      <c r="B3" s="26"/>
    </row>
    <row r="4" spans="1:2">
      <c r="A4" s="6"/>
      <c r="B4" s="26"/>
    </row>
    <row r="5" spans="1:2">
      <c r="A5" s="4"/>
      <c r="B5" s="13"/>
    </row>
    <row r="6" spans="1:2">
      <c r="A6" s="5"/>
      <c r="B6" s="13"/>
    </row>
    <row r="7" spans="1:2">
      <c r="A7" s="5"/>
      <c r="B7" s="12"/>
    </row>
    <row r="8" spans="1:2">
      <c r="A8" s="5"/>
      <c r="B8" s="30" t="s">
        <v>52</v>
      </c>
    </row>
    <row r="9" spans="1:2">
      <c r="A9" s="6"/>
      <c r="B9" s="14" t="s">
        <v>53</v>
      </c>
    </row>
    <row r="10" spans="1:2">
      <c r="A10" s="4"/>
      <c r="B10" s="14" t="s">
        <v>54</v>
      </c>
    </row>
    <row r="11" spans="1:2">
      <c r="A11" s="4"/>
      <c r="B11" s="14" t="s">
        <v>55</v>
      </c>
    </row>
    <row r="12" spans="1:2">
      <c r="A12" s="4"/>
      <c r="B12" s="14"/>
    </row>
    <row r="13" spans="1:2">
      <c r="A13" s="6" t="s">
        <v>2</v>
      </c>
      <c r="B13" s="14"/>
    </row>
    <row r="14" spans="1:2">
      <c r="A14" s="4"/>
      <c r="B14" s="14"/>
    </row>
    <row r="15" spans="1:2">
      <c r="A15" s="6" t="s">
        <v>3</v>
      </c>
      <c r="B15" s="13"/>
    </row>
    <row r="16" spans="1:2">
      <c r="A16" s="4" t="s">
        <v>4</v>
      </c>
      <c r="B16" s="29">
        <v>122200000</v>
      </c>
    </row>
    <row r="17" spans="1:2">
      <c r="A17" s="4" t="s">
        <v>5</v>
      </c>
      <c r="B17" s="29">
        <v>115941</v>
      </c>
    </row>
    <row r="18" spans="1:2">
      <c r="A18" s="4"/>
      <c r="B18" s="22">
        <f>SUM(B16:B17)</f>
        <v>122315941</v>
      </c>
    </row>
    <row r="19" spans="1:2">
      <c r="A19" s="6" t="s">
        <v>6</v>
      </c>
      <c r="B19" s="29"/>
    </row>
    <row r="20" spans="1:2">
      <c r="A20" s="4" t="s">
        <v>7</v>
      </c>
      <c r="B20" s="29">
        <v>43498.44</v>
      </c>
    </row>
    <row r="21" spans="1:2">
      <c r="A21" s="4" t="s">
        <v>8</v>
      </c>
      <c r="B21" s="29">
        <v>63848.66</v>
      </c>
    </row>
    <row r="22" spans="1:2">
      <c r="A22" s="4" t="s">
        <v>9</v>
      </c>
      <c r="B22" s="29">
        <v>855395.51</v>
      </c>
    </row>
    <row r="23" spans="1:2">
      <c r="A23" s="4"/>
      <c r="B23" s="29"/>
    </row>
    <row r="24" spans="1:2">
      <c r="A24" s="4"/>
      <c r="B24" s="22">
        <f>SUM(B20:B23)</f>
        <v>962742.61</v>
      </c>
    </row>
    <row r="25" spans="1:2">
      <c r="A25" s="6" t="s">
        <v>10</v>
      </c>
      <c r="B25" s="29"/>
    </row>
    <row r="26" spans="1:2">
      <c r="A26" s="4" t="s">
        <v>11</v>
      </c>
      <c r="B26" s="29">
        <v>-37850</v>
      </c>
    </row>
    <row r="27" spans="1:2">
      <c r="A27" s="4" t="s">
        <v>12</v>
      </c>
      <c r="B27" s="29">
        <v>-130181</v>
      </c>
    </row>
    <row r="28" spans="1:2">
      <c r="A28" s="4" t="s">
        <v>14</v>
      </c>
      <c r="B28" s="29">
        <v>-52864237.020000003</v>
      </c>
    </row>
    <row r="29" spans="1:2">
      <c r="A29" s="4" t="s">
        <v>13</v>
      </c>
      <c r="B29" s="29">
        <v>-312000</v>
      </c>
    </row>
    <row r="30" spans="1:2">
      <c r="A30" s="4"/>
      <c r="B30" s="29"/>
    </row>
    <row r="31" spans="1:2">
      <c r="A31" s="4"/>
      <c r="B31" s="22">
        <f>SUM(B26:B30)</f>
        <v>-53344268.020000003</v>
      </c>
    </row>
    <row r="32" spans="1:2">
      <c r="A32" s="4"/>
      <c r="B32" s="16"/>
    </row>
    <row r="33" spans="1:2">
      <c r="A33" s="6" t="s">
        <v>15</v>
      </c>
      <c r="B33" s="15">
        <f>B24+B31</f>
        <v>-52381525.410000004</v>
      </c>
    </row>
    <row r="34" spans="1:2">
      <c r="A34" s="4"/>
      <c r="B34" s="16"/>
    </row>
    <row r="35" spans="1:2">
      <c r="A35" s="6" t="s">
        <v>16</v>
      </c>
      <c r="B35" s="29"/>
    </row>
    <row r="36" spans="1:2">
      <c r="A36" s="4" t="s">
        <v>17</v>
      </c>
      <c r="B36" s="29">
        <v>-268800</v>
      </c>
    </row>
    <row r="37" spans="1:2">
      <c r="A37" s="4" t="s">
        <v>18</v>
      </c>
      <c r="B37" s="29">
        <v>-732282</v>
      </c>
    </row>
    <row r="38" spans="1:2">
      <c r="A38" s="4"/>
      <c r="B38" s="29"/>
    </row>
    <row r="39" spans="1:2">
      <c r="A39" s="4"/>
      <c r="B39" s="22">
        <f>SUM(B36:B38)</f>
        <v>-1001082</v>
      </c>
    </row>
    <row r="40" spans="1:2">
      <c r="A40" s="4"/>
      <c r="B40" s="15"/>
    </row>
    <row r="41" spans="1:2" ht="15.75" thickBot="1">
      <c r="A41" s="6" t="s">
        <v>19</v>
      </c>
      <c r="B41" s="17">
        <f>B33+B18+B39</f>
        <v>68933333.590000004</v>
      </c>
    </row>
    <row r="42" spans="1:2" ht="15.75" thickTop="1">
      <c r="A42" s="4"/>
      <c r="B42" s="15"/>
    </row>
    <row r="43" spans="1:2">
      <c r="A43" s="6" t="s">
        <v>20</v>
      </c>
      <c r="B43" s="29"/>
    </row>
    <row r="44" spans="1:2">
      <c r="A44" s="4" t="s">
        <v>21</v>
      </c>
      <c r="B44" s="29">
        <v>-1000000</v>
      </c>
    </row>
    <row r="45" spans="1:2">
      <c r="A45" s="4" t="s">
        <v>22</v>
      </c>
      <c r="B45" s="29">
        <v>-65560022.060000002</v>
      </c>
    </row>
    <row r="46" spans="1:2">
      <c r="A46" s="4" t="s">
        <v>23</v>
      </c>
      <c r="B46" s="29">
        <v>-2373311.5300000003</v>
      </c>
    </row>
    <row r="47" spans="1:2">
      <c r="A47" s="4"/>
      <c r="B47" s="16"/>
    </row>
    <row r="48" spans="1:2" ht="15.75" thickBot="1">
      <c r="A48" s="4"/>
      <c r="B48" s="23">
        <f>SUM(B44:B46)</f>
        <v>-68933333.590000004</v>
      </c>
    </row>
    <row r="49" spans="1:2" ht="15.75" thickTop="1">
      <c r="A49" s="6" t="s">
        <v>24</v>
      </c>
      <c r="B49" s="15">
        <f>B41+B48</f>
        <v>0</v>
      </c>
    </row>
    <row r="50" spans="1:2">
      <c r="A50" s="4"/>
      <c r="B50" s="15"/>
    </row>
    <row r="51" spans="1:2">
      <c r="A51" s="6" t="s">
        <v>25</v>
      </c>
      <c r="B51" s="21"/>
    </row>
    <row r="52" spans="1:2">
      <c r="A52" s="4"/>
      <c r="B52" s="13"/>
    </row>
    <row r="53" spans="1:2">
      <c r="A53" s="6" t="s">
        <v>26</v>
      </c>
      <c r="B53" s="29"/>
    </row>
    <row r="54" spans="1:2">
      <c r="A54" s="4" t="s">
        <v>27</v>
      </c>
      <c r="B54" s="29">
        <v>-2442682.41</v>
      </c>
    </row>
    <row r="55" spans="1:2">
      <c r="A55" s="4"/>
      <c r="B55" s="29"/>
    </row>
    <row r="56" spans="1:2">
      <c r="A56" s="4"/>
      <c r="B56" s="27">
        <f>SUM(B54:B55)</f>
        <v>-2442682.41</v>
      </c>
    </row>
    <row r="57" spans="1:2">
      <c r="A57" s="4"/>
      <c r="B57" s="29"/>
    </row>
    <row r="58" spans="1:2">
      <c r="A58" s="4"/>
      <c r="B58" s="29"/>
    </row>
    <row r="59" spans="1:2">
      <c r="A59" s="6" t="s">
        <v>28</v>
      </c>
      <c r="B59" s="24">
        <f>B56</f>
        <v>-2442682.41</v>
      </c>
    </row>
    <row r="60" spans="1:2">
      <c r="A60" s="6" t="s">
        <v>29</v>
      </c>
      <c r="B60" s="31">
        <v>1</v>
      </c>
    </row>
    <row r="61" spans="1:2">
      <c r="A61" s="4"/>
      <c r="B61" s="29"/>
    </row>
    <row r="62" spans="1:2">
      <c r="A62" s="4"/>
      <c r="B62" s="13"/>
    </row>
    <row r="63" spans="1:2">
      <c r="A63" s="6" t="s">
        <v>30</v>
      </c>
      <c r="B63" s="13"/>
    </row>
    <row r="64" spans="1:2">
      <c r="A64" s="4" t="s">
        <v>31</v>
      </c>
      <c r="B64" s="29">
        <v>-25431.19</v>
      </c>
    </row>
    <row r="65" spans="1:2">
      <c r="A65" s="4"/>
      <c r="B65" s="29"/>
    </row>
    <row r="66" spans="1:2">
      <c r="A66" s="4"/>
      <c r="B66" s="27">
        <f>SUM(B64:B65)</f>
        <v>-25431.19</v>
      </c>
    </row>
    <row r="67" spans="1:2">
      <c r="A67" s="4"/>
      <c r="B67" s="16"/>
    </row>
    <row r="68" spans="1:2">
      <c r="A68" s="6"/>
      <c r="B68" s="24">
        <f>B59+B66</f>
        <v>-2468113.6</v>
      </c>
    </row>
    <row r="69" spans="1:2">
      <c r="A69" s="6"/>
      <c r="B69" s="13"/>
    </row>
    <row r="70" spans="1:2">
      <c r="A70" s="6"/>
      <c r="B70" s="13"/>
    </row>
    <row r="71" spans="1:2">
      <c r="A71" s="6" t="s">
        <v>33</v>
      </c>
      <c r="B71" s="21"/>
    </row>
    <row r="72" spans="1:2">
      <c r="A72" s="9" t="s">
        <v>34</v>
      </c>
      <c r="B72" s="29">
        <v>30000</v>
      </c>
    </row>
    <row r="73" spans="1:2">
      <c r="A73" s="9" t="s">
        <v>35</v>
      </c>
      <c r="B73" s="29">
        <v>760</v>
      </c>
    </row>
    <row r="74" spans="1:2">
      <c r="A74" s="9" t="s">
        <v>36</v>
      </c>
      <c r="B74" s="29">
        <v>340616</v>
      </c>
    </row>
    <row r="75" spans="1:2">
      <c r="A75" s="9" t="s">
        <v>37</v>
      </c>
      <c r="B75" s="29">
        <v>2255</v>
      </c>
    </row>
    <row r="76" spans="1:2">
      <c r="A76" s="9" t="s">
        <v>32</v>
      </c>
      <c r="B76" s="29">
        <v>69400</v>
      </c>
    </row>
    <row r="77" spans="1:2">
      <c r="A77" s="9" t="s">
        <v>38</v>
      </c>
      <c r="B77" s="29">
        <v>25574</v>
      </c>
    </row>
    <row r="78" spans="1:2">
      <c r="A78" s="9" t="s">
        <v>39</v>
      </c>
      <c r="B78" s="29">
        <v>-800000</v>
      </c>
    </row>
    <row r="79" spans="1:2">
      <c r="A79" s="9" t="s">
        <v>40</v>
      </c>
      <c r="B79" s="29">
        <v>21603.58</v>
      </c>
    </row>
    <row r="80" spans="1:2">
      <c r="A80" s="9" t="s">
        <v>41</v>
      </c>
      <c r="B80" s="29">
        <v>12250</v>
      </c>
    </row>
    <row r="81" spans="1:2">
      <c r="A81" s="9" t="s">
        <v>42</v>
      </c>
      <c r="B81" s="29">
        <v>550</v>
      </c>
    </row>
    <row r="82" spans="1:2">
      <c r="A82" s="9" t="s">
        <v>43</v>
      </c>
      <c r="B82" s="29">
        <v>139732</v>
      </c>
    </row>
    <row r="83" spans="1:2">
      <c r="A83" s="9" t="s">
        <v>44</v>
      </c>
      <c r="B83" s="29">
        <v>16865</v>
      </c>
    </row>
    <row r="84" spans="1:2">
      <c r="A84" s="9" t="s">
        <v>45</v>
      </c>
      <c r="B84" s="29">
        <v>4668</v>
      </c>
    </row>
    <row r="85" spans="1:2">
      <c r="A85" s="9" t="s">
        <v>46</v>
      </c>
      <c r="B85" s="29">
        <v>4524</v>
      </c>
    </row>
    <row r="86" spans="1:2">
      <c r="A86" s="9" t="s">
        <v>47</v>
      </c>
      <c r="B86" s="29">
        <v>35376.49</v>
      </c>
    </row>
    <row r="87" spans="1:2">
      <c r="A87" s="4"/>
      <c r="B87" s="29"/>
    </row>
    <row r="88" spans="1:2">
      <c r="A88" s="4"/>
      <c r="B88" s="16"/>
    </row>
    <row r="89" spans="1:2">
      <c r="A89" s="6"/>
      <c r="B89" s="24">
        <f>SUM(B72:B87)</f>
        <v>-95825.93</v>
      </c>
    </row>
    <row r="90" spans="1:2">
      <c r="A90" s="6"/>
      <c r="B90" s="13"/>
    </row>
    <row r="91" spans="1:2">
      <c r="A91" s="4"/>
      <c r="B91" s="10"/>
    </row>
    <row r="92" spans="1:2">
      <c r="A92" s="4"/>
      <c r="B92" s="15">
        <v>-95825.93</v>
      </c>
    </row>
    <row r="93" spans="1:2">
      <c r="A93" s="6" t="s">
        <v>48</v>
      </c>
      <c r="B93" s="19">
        <f>B68+B92</f>
        <v>-2563939.5300000003</v>
      </c>
    </row>
    <row r="94" spans="1:2">
      <c r="A94" s="4"/>
      <c r="B94" s="15"/>
    </row>
    <row r="95" spans="1:2">
      <c r="A95" s="6" t="s">
        <v>49</v>
      </c>
      <c r="B95" s="13"/>
    </row>
    <row r="96" spans="1:2">
      <c r="A96" s="4" t="s">
        <v>50</v>
      </c>
      <c r="B96" s="29">
        <v>90225</v>
      </c>
    </row>
    <row r="97" spans="1:2">
      <c r="A97" s="4" t="s">
        <v>51</v>
      </c>
      <c r="B97" s="29">
        <v>100403</v>
      </c>
    </row>
    <row r="98" spans="1:2">
      <c r="A98" s="4"/>
      <c r="B98" s="29"/>
    </row>
    <row r="99" spans="1:2">
      <c r="A99" s="4"/>
      <c r="B99" s="18">
        <f>SUM(B96:B98)</f>
        <v>190628</v>
      </c>
    </row>
    <row r="100" spans="1:2" ht="15.75" thickBot="1">
      <c r="A100" s="6" t="s">
        <v>23</v>
      </c>
      <c r="B100" s="20">
        <f>B93+B99</f>
        <v>-2373311.5300000003</v>
      </c>
    </row>
    <row r="101" spans="1:2" ht="15.75" thickTop="1">
      <c r="A101" s="6"/>
      <c r="B101" s="29"/>
    </row>
    <row r="102" spans="1:2">
      <c r="A102" s="6" t="s">
        <v>24</v>
      </c>
      <c r="B102" s="21"/>
    </row>
    <row r="103" spans="1:2">
      <c r="A103" s="4"/>
      <c r="B103" s="29"/>
    </row>
    <row r="104" spans="1:2">
      <c r="A104" s="7"/>
      <c r="B104" s="13"/>
    </row>
    <row r="105" spans="1:2" ht="16.5">
      <c r="A105" s="1"/>
      <c r="B105" s="28"/>
    </row>
    <row r="106" spans="1:2">
      <c r="A106" s="4"/>
      <c r="B106" s="28"/>
    </row>
    <row r="107" spans="1:2">
      <c r="A107" s="4"/>
      <c r="B107" s="28"/>
    </row>
    <row r="108" spans="1:2">
      <c r="A108" s="6"/>
      <c r="B108" s="28"/>
    </row>
    <row r="109" spans="1:2">
      <c r="A109" s="7"/>
      <c r="B109" s="28"/>
    </row>
    <row r="110" spans="1:2">
      <c r="A110" s="7"/>
      <c r="B110" s="28"/>
    </row>
    <row r="111" spans="1:2">
      <c r="A111" s="7"/>
      <c r="B111" s="28"/>
    </row>
    <row r="112" spans="1:2">
      <c r="A112" s="7"/>
      <c r="B112" s="28"/>
    </row>
    <row r="113" spans="1:2" ht="16.5">
      <c r="A113" s="8"/>
      <c r="B113" s="25"/>
    </row>
    <row r="114" spans="1:2" ht="16.5">
      <c r="A114" s="8"/>
      <c r="B114" s="25"/>
    </row>
    <row r="115" spans="1:2" ht="16.5">
      <c r="A115" s="1"/>
      <c r="B115" s="25"/>
    </row>
    <row r="116" spans="1:2" ht="16.5">
      <c r="A116" s="6"/>
      <c r="B116" s="11"/>
    </row>
    <row r="117" spans="1:2" ht="16.5">
      <c r="A117" s="7"/>
      <c r="B117" s="11"/>
    </row>
    <row r="122" spans="1:2">
      <c r="A122" s="6"/>
    </row>
    <row r="123" spans="1:2">
      <c r="A123" s="3"/>
    </row>
    <row r="124" spans="1:2">
      <c r="A124" s="2"/>
    </row>
    <row r="125" spans="1:2">
      <c r="A125" s="2"/>
    </row>
    <row r="126" spans="1:2">
      <c r="A126" s="3"/>
    </row>
  </sheetData>
  <phoneticPr fontId="20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0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20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2025-03-23T07:14:09Z</dcterms:modified>
</cp:coreProperties>
</file>