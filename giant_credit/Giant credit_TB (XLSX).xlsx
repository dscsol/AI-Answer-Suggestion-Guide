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10" windowWidth="14810" windowHeight="8010"/>
  </bookViews>
  <sheets>
    <sheet name="TB" sheetId="1" r:id="rId1"/>
  </sheets>
  <calcPr calcId="145621"/>
</workbook>
</file>

<file path=xl/calcChain.xml><?xml version="1.0" encoding="utf-8"?>
<calcChain xmlns="http://schemas.openxmlformats.org/spreadsheetml/2006/main">
  <c r="B118" i="1" l="1"/>
  <c r="B117" i="1"/>
  <c r="B112" i="1"/>
  <c r="B111" i="1"/>
  <c r="B104" i="1"/>
  <c r="B68" i="1"/>
  <c r="B63" i="1"/>
  <c r="B54" i="1"/>
  <c r="B42" i="1"/>
  <c r="B35" i="1"/>
  <c r="B44" i="1" s="1"/>
  <c r="B47" i="1" s="1"/>
  <c r="B55" i="1" s="1"/>
  <c r="B25" i="1"/>
</calcChain>
</file>

<file path=xl/sharedStrings.xml><?xml version="1.0" encoding="utf-8"?>
<sst xmlns="http://schemas.openxmlformats.org/spreadsheetml/2006/main" count="80" uniqueCount="78">
  <si>
    <t>Client: Giant Credit Limited</t>
  </si>
  <si>
    <t>Year Ended: 31 December 2023</t>
  </si>
  <si>
    <t>BALANCE SHEET</t>
  </si>
  <si>
    <t>Non-current assets</t>
  </si>
  <si>
    <t>Furniture and Fixtures</t>
  </si>
  <si>
    <t>Accumulated depreciation - FF</t>
  </si>
  <si>
    <t>Leasehold improvement</t>
  </si>
  <si>
    <t>Investment properties</t>
  </si>
  <si>
    <t>Accumulated depreciation - Investment properties</t>
  </si>
  <si>
    <t>Accumulated depreciation - leasehold improvement</t>
  </si>
  <si>
    <t>Motor vehicle</t>
  </si>
  <si>
    <t>Accumulated depreciation - MV</t>
  </si>
  <si>
    <t>Current assets</t>
  </si>
  <si>
    <t>Deposit</t>
  </si>
  <si>
    <t>Prepayment</t>
  </si>
  <si>
    <t>Trade and other receivables</t>
  </si>
  <si>
    <t>Tax recoverable</t>
  </si>
  <si>
    <t>Amount due from ultimate holding co</t>
  </si>
  <si>
    <t>Amount due from the fellow sub</t>
  </si>
  <si>
    <t>Cash and bank balances</t>
  </si>
  <si>
    <t>Current liabilities</t>
  </si>
  <si>
    <t>Accruals</t>
  </si>
  <si>
    <t>Other payables</t>
  </si>
  <si>
    <t>Co-lending collaboration</t>
  </si>
  <si>
    <t>Amount due to the fellow sub</t>
  </si>
  <si>
    <t>Net Current Liabilities</t>
  </si>
  <si>
    <t>Net assets</t>
  </si>
  <si>
    <t>Share capital and reserve</t>
  </si>
  <si>
    <t>Share capital</t>
  </si>
  <si>
    <t>(Retained profit) / acc. loss b/f</t>
  </si>
  <si>
    <t>(Profit) / Loss for the period</t>
  </si>
  <si>
    <t>Control</t>
  </si>
  <si>
    <t>PROFIT &amp; LOSS</t>
  </si>
  <si>
    <t>Turnover</t>
  </si>
  <si>
    <t>Loan interest income</t>
  </si>
  <si>
    <t>Overdue and penalty interest income</t>
  </si>
  <si>
    <t>Other income</t>
  </si>
  <si>
    <t>Bank interest income</t>
  </si>
  <si>
    <t>Sundry income</t>
  </si>
  <si>
    <t>Gross (profit) / loss</t>
  </si>
  <si>
    <t>GP (%)</t>
  </si>
  <si>
    <t>Commission paid</t>
  </si>
  <si>
    <t>Repairs and maintenance</t>
  </si>
  <si>
    <t>Administration expenses</t>
  </si>
  <si>
    <t>Auditor's remuneration</t>
  </si>
  <si>
    <t>Bank charge</t>
  </si>
  <si>
    <t>Building management fee</t>
  </si>
  <si>
    <t>Business registration fee</t>
  </si>
  <si>
    <t>Consultation fee</t>
  </si>
  <si>
    <t>Company secretarial fee</t>
  </si>
  <si>
    <t xml:space="preserve">Depreciation </t>
  </si>
  <si>
    <t>Electricity</t>
  </si>
  <si>
    <t>Entertainment</t>
  </si>
  <si>
    <t>Government rent and rates</t>
  </si>
  <si>
    <t>GFS app. &amp; IT service fee</t>
  </si>
  <si>
    <t>Management fee</t>
  </si>
  <si>
    <t>Legal and professional fee</t>
  </si>
  <si>
    <t>Licence fee</t>
  </si>
  <si>
    <t>Mandatory provident fund contributions</t>
  </si>
  <si>
    <t>Membership fee</t>
  </si>
  <si>
    <t>Motor vehicles expense</t>
  </si>
  <si>
    <t>Rental of software system</t>
  </si>
  <si>
    <t>Postage and stamp duties</t>
  </si>
  <si>
    <t>Printing and stationery</t>
  </si>
  <si>
    <t>Insurance</t>
  </si>
  <si>
    <t>Staff salaries</t>
  </si>
  <si>
    <t>Sundry expense</t>
  </si>
  <si>
    <t>Telephone and internet charge</t>
  </si>
  <si>
    <t>Oversea travelling expense</t>
  </si>
  <si>
    <t>Finance cost</t>
  </si>
  <si>
    <t>Co-lending interest</t>
  </si>
  <si>
    <t>(Profit) / Loss before tax</t>
  </si>
  <si>
    <t>Taxation</t>
  </si>
  <si>
    <t>Income tax expense</t>
  </si>
  <si>
    <t>2023</t>
  </si>
  <si>
    <t>Per audit WP</t>
  </si>
  <si>
    <t>HK$</t>
  </si>
  <si>
    <t>Dr./(Cr.)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</si>
</sst>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0">
    <numFmt numFmtId="5" formatCode="&quot;HK$&quot;#,##0_);\(&quot;HK$&quot;#,##0\)"/>
    <numFmt numFmtId="6" formatCode="&quot;HK$&quot;#,##0_);[Red]\(&quot;HK$&quot;#,##0\)"/>
    <numFmt numFmtId="7" formatCode="&quot;HK$&quot;#,##0.00_);\(&quot;HK$&quot;#,##0.00\)"/>
    <numFmt numFmtId="8" formatCode="&quot;HK$&quot;#,##0.00_);[Red]\(&quot;HK$&quot;#,##0.00\)"/>
    <numFmt numFmtId="42" formatCode="_(&quot;HK$&quot;* #,##0_);_(&quot;HK$&quot;* \(#,##0\);_(&quot;HK$&quot;* &quot;-&quot;_);_(@_)"/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-* #,##0_-;\-* #,##0_-;_-* &quot;-&quot;_-;_-@_-"/>
    <numFmt numFmtId="177" formatCode="_-* #,##0.00_-;\-* #,##0.00_-;_-* &quot;-&quot;??_-;_-@_-"/>
    <numFmt numFmtId="178" formatCode="&quot;$&quot;#,##0;\-&quot;$&quot;#,##0"/>
    <numFmt numFmtId="180" formatCode="&quot;$&quot;#,##0.00;\-&quot;$&quot;#,##0.00"/>
    <numFmt numFmtId="182" formatCode="_-&quot;$&quot;* #,##0.00_-;\-&quot;$&quot;* #,##0.00_-;_-&quot;$&quot;* &quot;-&quot;??_-;_-@_-"/>
    <numFmt numFmtId="183" formatCode="&quot;$&quot;#,##0_);\(&quot;$&quot;#,##0\)"/>
    <numFmt numFmtId="184" formatCode="&quot;$&quot;#,##0.00_);\(&quot;$&quot;#,##0.00\)"/>
    <numFmt numFmtId="185" formatCode="_(&quot;$&quot;* #,##0_);_(&quot;$&quot;* \(#,##0\);_(&quot;$&quot;* &quot;-&quot;_);_(@_)"/>
    <numFmt numFmtId="186" formatCode="_(&quot;$&quot;* #,##0.00_);_(&quot;$&quot;* \(#,##0.00\);_(&quot;$&quot;* &quot;-&quot;??_);_(@_)"/>
    <numFmt numFmtId="188" formatCode="0.0%"/>
    <numFmt numFmtId="191" formatCode="#,##0.0_);\(#,##0.0\)"/>
    <numFmt numFmtId="192" formatCode="_-#,##0_-;\(#,##0\);_-\ \ &quot;-&quot;_-;_-@_-"/>
    <numFmt numFmtId="193" formatCode="_-#,##0.00_-;\(#,##0.00\);_-\ \ &quot;-&quot;_-;_-@_-"/>
    <numFmt numFmtId="194" formatCode="mmm/dd/yyyy;_-\ &quot;N/A&quot;_-;_-\ &quot;-&quot;_-"/>
    <numFmt numFmtId="195" formatCode="mmm/yyyy;_-\ &quot;N/A&quot;_-;_-\ &quot;-&quot;_-"/>
    <numFmt numFmtId="196" formatCode="_-#,##0%_-;\(#,##0%\);_-\ &quot;-&quot;_-"/>
    <numFmt numFmtId="197" formatCode="_-#,###,_-;\(#,###,\);_-\ \ &quot;-&quot;_-;_-@_-"/>
    <numFmt numFmtId="198" formatCode="_-#,###.00,_-;\(#,###.00,\);_-\ \ &quot;-&quot;_-;_-@_-"/>
    <numFmt numFmtId="199" formatCode="_-#0&quot;.&quot;0,_-;\(#0&quot;.&quot;0,\);_-\ \ &quot;-&quot;_-;_-@_-"/>
    <numFmt numFmtId="200" formatCode="_-#0&quot;.&quot;0000_-;\(#0&quot;.&quot;0000\);_-\ \ &quot;-&quot;_-;_-@_-"/>
    <numFmt numFmtId="201" formatCode="_-* #,##0.0000000000_-;\-* #,##0.0000000000_-;_-* &quot;-&quot;??_-;_-@_-"/>
    <numFmt numFmtId="202" formatCode="#,##0;\-#,##0;&quot;-&quot;"/>
    <numFmt numFmtId="203" formatCode="\(#,##0\)\ "/>
    <numFmt numFmtId="204" formatCode="[Blue]0.0%;[Blue]\(0.0%\)"/>
    <numFmt numFmtId="205" formatCode="0.0%;\(0.0%\)"/>
    <numFmt numFmtId="206" formatCode="[Red]0.0%;[Red]\(0.0%\)"/>
    <numFmt numFmtId="207" formatCode="[Blue]#,##0_);[Blue]\(#,##0\)"/>
    <numFmt numFmtId="208" formatCode="#,##0_);[Blue]\(#,##0\)"/>
    <numFmt numFmtId="209" formatCode="&quot;\&quot;#,##0.00;&quot;\&quot;&quot;\&quot;&quot;\&quot;&quot;\&quot;&quot;\&quot;&quot;\&quot;&quot;\&quot;&quot;\&quot;&quot;\&quot;&quot;\&quot;&quot;\&quot;&quot;\&quot;&quot;\&quot;&quot;\&quot;&quot;\&quot;\-#,##0.00"/>
    <numFmt numFmtId="210" formatCode="0.0000"/>
    <numFmt numFmtId="211" formatCode="#,##0;\(#,##0\)"/>
    <numFmt numFmtId="212" formatCode="#,##0.0"/>
    <numFmt numFmtId="213" formatCode="* \(#,##0\);* #,##0_);&quot;-&quot;??_);@"/>
    <numFmt numFmtId="214" formatCode="General_)"/>
    <numFmt numFmtId="215" formatCode="\$#,##0.00;\(\$#,##0.00\)"/>
    <numFmt numFmtId="216" formatCode="#,##0.000000"/>
    <numFmt numFmtId="217" formatCode="* #,##0_);* \(#,##0\);&quot;-&quot;??_);@"/>
    <numFmt numFmtId="218" formatCode="\$#,##0;\(\$#,##0\)"/>
    <numFmt numFmtId="219" formatCode="_-[$€-2]* #,##0.00_-;\-[$€-2]* #,##0.00_-;_-[$€-2]* &quot;-&quot;??_-"/>
    <numFmt numFmtId="220" formatCode="_ * #,##0_ ;_ * \-#,##0_ ;_ * &quot;-&quot;_ ;_ @_ "/>
    <numFmt numFmtId="221" formatCode="_ * #,##0.00_ ;_ * \-#,##0.00_ ;_ * &quot;-&quot;??_ ;_ @_ "/>
    <numFmt numFmtId="222" formatCode="0.00_)"/>
    <numFmt numFmtId="223" formatCode="0%_);\(0%\)"/>
    <numFmt numFmtId="224" formatCode="0%;\(0%\)"/>
    <numFmt numFmtId="225" formatCode="mmmm\-yy"/>
    <numFmt numFmtId="226" formatCode="\ \ @"/>
    <numFmt numFmtId="227" formatCode="#,##0_);\(#,##0_)"/>
    <numFmt numFmtId="228" formatCode="&quot;?&quot;#,##0_);[Red]\(&quot;?&quot;#,##0\)"/>
    <numFmt numFmtId="229" formatCode="&quot;?&quot;#,##0.00_);\(&quot;?&quot;#,##0.00\)"/>
    <numFmt numFmtId="230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  <numFmt numFmtId="231" formatCode="_ &quot;\&quot;* #,##0_ ;_ &quot;\&quot;* \-#,##0_ ;_ &quot;\&quot;* &quot;-&quot;_ ;_ @_ "/>
    <numFmt numFmtId="232" formatCode="_ &quot;\&quot;* #,##0.00_ ;_ &quot;\&quot;* \-#,##0.00_ ;_ &quot;\&quot;* &quot;-&quot;??_ ;_ @_ "/>
    <numFmt numFmtId="233" formatCode="&quot;\&quot;#,##0.00;[Red]&quot;\&quot;\-#,##0.00"/>
    <numFmt numFmtId="234" formatCode="&quot;\&quot;#,##0;[Red]&quot;\&quot;\-#,##0"/>
    <numFmt numFmtId="260" formatCode="_([$$-409]* #,##0.00_);_([$$-409]* \(#,##0.00\);_([$$-409]* &quot;-&quot;??_);_(@_)"/>
    <numFmt numFmtId="261" formatCode="[$-411]ggge&quot;年&quot;m&quot;月&quot;d&quot;日&quot;;@"/>
    <numFmt numFmtId="265" formatCode="_-* #,##0.00_-;\-* #,##0.00_-;_-* \-??_-;_-@_-"/>
    <numFmt numFmtId="266" formatCode="&quot;\&quot;#,##0;&quot;\&quot;&quot;\&quot;&quot;\&quot;&quot;\&quot;\-#,##0"/>
    <numFmt numFmtId="267" formatCode="&quot;\&quot;#,##0.00;&quot;\&quot;&quot;\&quot;&quot;\&quot;&quot;\&quot;&quot;\&quot;&quot;\&quot;&quot;\&quot;&quot;\&quot;&quot;\&quot;&quot;\&quot;&quot;\&quot;&quot;\&quot;&quot;\&quot;&quot;\&quot;&quot;\&quot;&quot;\&quot;\-#,##0.00"/>
    <numFmt numFmtId="268" formatCode="&quot;\&quot;#,##0;[Red]&quot;\&quot;&quot;\&quot;&quot;\&quot;&quot;\&quot;&quot;\&quot;&quot;\&quot;&quot;\&quot;&quot;\&quot;&quot;\&quot;&quot;\&quot;&quot;\&quot;&quot;\&quot;&quot;\&quot;&quot;\&quot;&quot;\&quot;&quot;\&quot;\-#,##0"/>
    <numFmt numFmtId="269" formatCode="&quot;\&quot;#,##0;[Red]&quot;\&quot;&quot;\&quot;&quot;\&quot;&quot;\&quot;\-#,##0"/>
    <numFmt numFmtId="270" formatCode="&quot;\&quot;#,##0.00;[Red]&quot;\&quot;&quot;\&quot;&quot;\&quot;&quot;\&quot;&quot;\&quot;&quot;\&quot;&quot;\&quot;&quot;\&quot;&quot;\&quot;&quot;\&quot;&quot;\&quot;&quot;\&quot;&quot;\&quot;&quot;\&quot;&quot;\&quot;&quot;\&quot;&quot;\&quot;&quot;\&quot;\-#,##0.00"/>
    <numFmt numFmtId="271" formatCode="&quot;\&quot;#,##0.00;&quot;\&quot;&quot;\&quot;&quot;\&quot;&quot;\&quot;\-#,##0.00"/>
    <numFmt numFmtId="272" formatCode="_(* #,##0_);_(* \(#,##0\);_(* &quot; - &quot;_);_(@_)"/>
    <numFmt numFmtId="273" formatCode="_ &quot;\&quot;* #,##0.00_ ;_ &quot;\&quot;* &quot;\&quot;&quot;\&quot;&quot;\&quot;&quot;\&quot;&quot;\&quot;&quot;\&quot;&quot;\&quot;&quot;\&quot;&quot;\&quot;&quot;\&quot;&quot;\&quot;&quot;\&quot;&quot;\&quot;&quot;\&quot;&quot;\&quot;&quot;\&quot;\-#,##0.00_ ;_ &quot;\&quot;* &quot;-&quot;??_ ;_ @_ "/>
    <numFmt numFmtId="274" formatCode="#,##0%"/>
    <numFmt numFmtId="275" formatCode="#,##0.0%"/>
    <numFmt numFmtId="276" formatCode="&quot;\&quot;#,##0.00;[Red]&quot;\&quot;&quot;\&quot;&quot;\&quot;&quot;\&quot;&quot;\&quot;&quot;\&quot;&quot;\&quot;&quot;\&quot;&quot;\&quot;&quot;\&quot;&quot;\&quot;&quot;\&quot;&quot;\&quot;&quot;\&quot;&quot;\&quot;&quot;\&quot;\-#,##0.00"/>
    <numFmt numFmtId="277" formatCode="&quot;HK$&quot;\ #,##0;&quot;HK$&quot;\ \-#,##0"/>
    <numFmt numFmtId="278" formatCode="&quot;HK$&quot;\ #,##0.00;&quot;HK$&quot;\ \-#,##0.00"/>
    <numFmt numFmtId="279" formatCode="_ &quot;S/&quot;* #,##0.00_ ;_ &quot;S/&quot;* \-#,##0.00_ ;_ &quot;S/&quot;* &quot;-&quot;??_ ;_ @_ "/>
    <numFmt numFmtId="280" formatCode="&quot;HK$&quot;\ #,##0;[Red]&quot;HK$&quot;\ \-#,##0"/>
    <numFmt numFmtId="281" formatCode="_ * #,##0_ ;_ * &quot;\&quot;&quot;\&quot;&quot;\&quot;&quot;\&quot;&quot;\&quot;&quot;\&quot;\-#,##0_ ;_ * &quot;-&quot;_ ;_ @_ "/>
    <numFmt numFmtId="282" formatCode="_ * #,##0_)_k_r_ ;_ * \(#,##0\)_k_r_ ;_ * &quot;-&quot;_)_k_r_ ;_ @_ "/>
    <numFmt numFmtId="283" formatCode="_ * #,##0_)&quot;kr&quot;_ ;_ * \(#,##0\)&quot;kr&quot;_ ;_ * &quot;-&quot;_)&quot;kr&quot;_ ;_ @_ "/>
    <numFmt numFmtId="284" formatCode="#,##0.00\ &quot;kr&quot;;[Red]\-#,##0.00\ &quot;kr&quot;"/>
    <numFmt numFmtId="285" formatCode="#,##0\ &quot;DM&quot;;[Red]\-#,##0\ &quot;DM&quot;"/>
    <numFmt numFmtId="286" formatCode="#,##0.00\ &quot;DM&quot;;[Red]\-#,##0.00\ &quot;DM&quot;"/>
    <numFmt numFmtId="287" formatCode="m/d"/>
    <numFmt numFmtId="288" formatCode="_(&quot;P&quot;* #,##0_);_(&quot;P&quot;* \(#,##0\);_(&quot;P&quot;* &quot;-&quot;_);_(@_)"/>
    <numFmt numFmtId="289" formatCode="yy/m/d"/>
    <numFmt numFmtId="290" formatCode="_ &quot;ㄓ&quot;* #,##0_ ;_ &quot;ㄓ&quot;* \-#,##0_ ;_ &quot;ㄓ&quot;* &quot;-&quot;_ ;_ @_ "/>
    <numFmt numFmtId="291" formatCode="_ &quot;ㄓ&quot;* #,##0.00_ ;_ &quot;ㄓ&quot;* \-#,##0.00_ ;_ &quot;ㄓ&quot;* &quot;-&quot;??_ ;_ @_ "/>
  </numFmts>
  <fonts count="209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2"/>
      <name val="宋体"/>
      <family val="3"/>
      <charset val="136"/>
    </font>
    <font>
      <sz val="11"/>
      <name val="ＭＳ Ｐゴシック"/>
      <family val="2"/>
      <charset val="134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2"/>
      <name val="???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Geneva"/>
      <family val="2"/>
    </font>
    <font>
      <sz val="10"/>
      <name val="Tahoma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u/>
      <sz val="12"/>
      <color indexed="12"/>
      <name val="·s²Ó©úÅé"/>
      <family val="1"/>
    </font>
    <font>
      <sz val="13"/>
      <name val="Tms Rmn"/>
      <family val="1"/>
    </font>
    <font>
      <u/>
      <sz val="12"/>
      <color indexed="36"/>
      <name val="·s²Ó©úÅé"/>
      <family val="1"/>
    </font>
    <font>
      <sz val="8"/>
      <name val="Times New Roman"/>
      <family val="1"/>
    </font>
    <font>
      <b/>
      <sz val="10"/>
      <name val="Helv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color indexed="0"/>
      <name val="MS Sans Serif"/>
      <family val="2"/>
    </font>
    <font>
      <sz val="10"/>
      <name val="MS Serif"/>
      <family val="1"/>
    </font>
    <font>
      <sz val="12"/>
      <name val="Helv"/>
      <family val="2"/>
    </font>
    <font>
      <sz val="12"/>
      <name val="Arial"/>
      <family val="2"/>
    </font>
    <font>
      <sz val="10"/>
      <color indexed="16"/>
      <name val="MS Serif"/>
      <family val="1"/>
    </font>
    <font>
      <sz val="9"/>
      <name val="Times New Roman"/>
      <family val="1"/>
    </font>
    <font>
      <sz val="8"/>
      <name val="Arial"/>
      <family val="2"/>
    </font>
    <font>
      <u/>
      <sz val="6"/>
      <color indexed="36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MS Sans Serif"/>
      <family val="2"/>
    </font>
    <font>
      <u/>
      <sz val="6"/>
      <color indexed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name val="宋体"/>
    </font>
    <font>
      <sz val="10"/>
      <color indexed="8"/>
      <name val="MS Sans Serif"/>
      <family val="2"/>
    </font>
    <font>
      <b/>
      <sz val="11"/>
      <color indexed="16"/>
      <name val="Times New Roman"/>
      <family val="1"/>
    </font>
    <font>
      <sz val="10"/>
      <name val="MS Sans Serif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sz val="8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sz val="10"/>
      <name val="Courier"/>
      <family val="3"/>
    </font>
    <font>
      <sz val="11"/>
      <name val="明朝"/>
      <family val="1"/>
      <charset val="255"/>
    </font>
    <font>
      <sz val="12"/>
      <name val="돋움체"/>
      <family val="3"/>
    </font>
    <font>
      <sz val="11"/>
      <name val="돋움"/>
      <family val="2"/>
    </font>
    <font>
      <sz val="12"/>
      <name val="Courier"/>
      <family val="3"/>
    </font>
    <font>
      <sz val="10"/>
      <name val="俵俽 僑僔僢僋"/>
      <charset val="134"/>
    </font>
    <font>
      <sz val="10"/>
      <name val="明朝"/>
      <family val="1"/>
      <charset val="255"/>
    </font>
    <font>
      <sz val="11"/>
      <name val="俵俽 俹僑僔僢僋"/>
      <charset val="134"/>
    </font>
    <font>
      <sz val="11"/>
      <color indexed="8"/>
      <name val="宋体"/>
    </font>
    <font>
      <sz val="11"/>
      <color indexed="9"/>
      <name val="宋体"/>
    </font>
    <font>
      <sz val="11"/>
      <color indexed="17"/>
      <name val="宋体"/>
    </font>
    <font>
      <sz val="11"/>
      <color indexed="20"/>
      <name val="宋体"/>
    </font>
    <font>
      <sz val="11"/>
      <color indexed="60"/>
      <name val="宋体"/>
    </font>
    <font>
      <i/>
      <sz val="11"/>
      <color indexed="23"/>
      <name val="宋体"/>
    </font>
    <font>
      <sz val="11"/>
      <color indexed="1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52"/>
      <name val="宋体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ahoma"/>
      <family val="2"/>
    </font>
    <font>
      <sz val="12"/>
      <name val="Arial Unicode MS"/>
      <family val="2"/>
      <charset val="136"/>
    </font>
    <font>
      <b/>
      <sz val="10"/>
      <color indexed="10"/>
      <name val="Times New Roman"/>
      <family val="1"/>
    </font>
    <font>
      <sz val="12"/>
      <color indexed="8"/>
      <name val="新細明體"/>
      <family val="1"/>
      <charset val="136"/>
    </font>
    <font>
      <b/>
      <sz val="10"/>
      <color indexed="8"/>
      <name val="Times New Roman"/>
      <family val="1"/>
    </font>
    <font>
      <sz val="11"/>
      <color indexed="8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0"/>
      <color theme="1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Calibri"/>
      <family val="2"/>
      <charset val="136"/>
    </font>
    <font>
      <sz val="1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name val="宋体"/>
      <family val="3"/>
      <charset val="134"/>
    </font>
    <font>
      <sz val="10"/>
      <name val="ＭＳ Ｐ明朝"/>
      <family val="1"/>
    </font>
    <font>
      <sz val="11"/>
      <color theme="1"/>
      <name val="新細明體"/>
      <family val="2"/>
      <charset val="134"/>
      <scheme val="minor"/>
    </font>
    <font>
      <sz val="12"/>
      <name val="新細明體"/>
      <family val="1"/>
    </font>
    <font>
      <u/>
      <sz val="8.5"/>
      <color indexed="12"/>
      <name val="Arial"/>
      <family val="2"/>
    </font>
    <font>
      <sz val="10"/>
      <name val="MS Sans Serif"/>
      <family val="1"/>
    </font>
    <font>
      <sz val="12"/>
      <color theme="1"/>
      <name val="新細明體"/>
      <family val="2"/>
      <charset val="136"/>
      <scheme val="major"/>
    </font>
    <font>
      <sz val="11"/>
      <color theme="1"/>
      <name val="新細明體"/>
      <family val="1"/>
    </font>
    <font>
      <sz val="12"/>
      <color theme="1"/>
      <name val="新細明體"/>
      <family val="1"/>
    </font>
    <font>
      <sz val="11"/>
      <color indexed="8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indexed="8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sz val="8"/>
      <name val="Arial Cyr"/>
      <family val="2"/>
      <charset val="204"/>
    </font>
    <font>
      <sz val="1"/>
      <color indexed="8"/>
      <name val="Courier"/>
      <family val="3"/>
    </font>
    <font>
      <sz val="9"/>
      <name val="Book Antiqua"/>
      <family val="1"/>
    </font>
    <font>
      <u/>
      <sz val="10"/>
      <color indexed="12"/>
      <name val="Footlight MT Light"/>
      <family val="1"/>
    </font>
    <font>
      <sz val="12"/>
      <name val="¹ÙÅÁÃ¼"/>
      <family val="1"/>
    </font>
    <font>
      <b/>
      <sz val="1"/>
      <color indexed="8"/>
      <name val="Courier"/>
      <family val="3"/>
    </font>
    <font>
      <sz val="11"/>
      <color indexed="8"/>
      <name val="宋体"/>
      <family val="3"/>
      <charset val="136"/>
    </font>
    <font>
      <u/>
      <sz val="12"/>
      <color indexed="12"/>
      <name val="ËÎÌå"/>
      <family val="2"/>
      <charset val="134"/>
    </font>
    <font>
      <sz val="12"/>
      <name val="?Ia"/>
      <family val="1"/>
    </font>
    <font>
      <sz val="11"/>
      <color indexed="9"/>
      <name val="宋体"/>
      <family val="3"/>
      <charset val="136"/>
    </font>
    <font>
      <sz val="12"/>
      <name val="â·ö ¸þ"/>
      <family val="3"/>
      <charset val="134"/>
    </font>
    <font>
      <u/>
      <sz val="9"/>
      <color indexed="36"/>
      <name val="Times New Roman"/>
      <family val="1"/>
    </font>
    <font>
      <b/>
      <sz val="14"/>
      <name val="Helv"/>
      <family val="2"/>
    </font>
    <font>
      <sz val="12"/>
      <name val="±¼¸²Ã¼"/>
      <family val="3"/>
    </font>
    <font>
      <sz val="10"/>
      <color indexed="22"/>
      <name val="MS Sans Serif"/>
      <family val="2"/>
    </font>
    <font>
      <b/>
      <sz val="10"/>
      <color indexed="12"/>
      <name val="Times New Roman"/>
      <family val="1"/>
    </font>
    <font>
      <sz val="12"/>
      <name val="Tms Rmn"/>
      <family val="1"/>
    </font>
    <font>
      <b/>
      <u/>
      <sz val="16"/>
      <name val="Helv"/>
      <family val="2"/>
    </font>
    <font>
      <sz val="14"/>
      <name val="Tms Rmn"/>
      <family val="1"/>
    </font>
    <font>
      <sz val="10"/>
      <name val="Helv"/>
      <family val="2"/>
    </font>
    <font>
      <sz val="12"/>
      <name val="·s²Ó©úÅé"/>
      <family val="1"/>
      <charset val="136"/>
    </font>
    <font>
      <sz val="12"/>
      <name val="ÐÂ¼šÃ÷ów"/>
      <family val="3"/>
      <charset val="134"/>
    </font>
    <font>
      <sz val="12"/>
      <name val="ÐÂ¼Ã÷ów"/>
      <family val="2"/>
      <charset val="134"/>
    </font>
    <font>
      <u/>
      <sz val="12"/>
      <color indexed="36"/>
      <name val="ËÎÌå"/>
      <family val="2"/>
      <charset val="134"/>
    </font>
    <font>
      <b/>
      <sz val="9"/>
      <name val="Helv"/>
      <family val="2"/>
    </font>
    <font>
      <sz val="11"/>
      <name val="絡遺"/>
      <family val="2"/>
      <charset val="134"/>
    </font>
    <font>
      <sz val="10"/>
      <name val="MingLiU"/>
      <family val="3"/>
      <charset val="136"/>
    </font>
    <font>
      <b/>
      <sz val="16"/>
      <name val="宋体"/>
      <family val="3"/>
      <charset val="136"/>
    </font>
    <font>
      <u/>
      <sz val="12"/>
      <color indexed="36"/>
      <name val="宋体"/>
      <family val="3"/>
      <charset val="136"/>
    </font>
    <font>
      <sz val="11"/>
      <color indexed="17"/>
      <name val="宋体"/>
      <family val="3"/>
      <charset val="136"/>
    </font>
    <font>
      <sz val="10"/>
      <name val="宋体"/>
      <family val="3"/>
      <charset val="136"/>
    </font>
    <font>
      <sz val="11"/>
      <color indexed="20"/>
      <name val="宋体"/>
      <family val="3"/>
      <charset val="136"/>
    </font>
    <font>
      <sz val="12"/>
      <name val="官帕眉"/>
      <family val="1"/>
    </font>
    <font>
      <sz val="11"/>
      <color indexed="60"/>
      <name val="宋体"/>
      <family val="3"/>
      <charset val="136"/>
    </font>
    <font>
      <u/>
      <sz val="12"/>
      <color indexed="12"/>
      <name val="Times New Roman"/>
      <family val="1"/>
    </font>
    <font>
      <u/>
      <sz val="12"/>
      <color indexed="12"/>
      <name val="宋体"/>
      <family val="3"/>
      <charset val="136"/>
    </font>
    <font>
      <i/>
      <sz val="11"/>
      <color indexed="23"/>
      <name val="宋体"/>
      <family val="3"/>
      <charset val="136"/>
    </font>
    <font>
      <sz val="11"/>
      <color indexed="62"/>
      <name val="宋体"/>
      <family val="3"/>
      <charset val="136"/>
    </font>
    <font>
      <b/>
      <sz val="11"/>
      <color indexed="63"/>
      <name val="宋体"/>
      <family val="3"/>
      <charset val="136"/>
    </font>
    <font>
      <sz val="12"/>
      <name val="夥鰻羹"/>
      <family val="2"/>
      <charset val="134"/>
    </font>
    <font>
      <u/>
      <sz val="12"/>
      <color indexed="36"/>
      <name val="Times New Roman"/>
      <family val="1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u/>
      <sz val="7.5"/>
      <color indexed="12"/>
      <name val="Arial"/>
      <family val="2"/>
    </font>
    <font>
      <sz val="11"/>
      <color indexed="10"/>
      <name val="宋体"/>
      <family val="3"/>
      <charset val="136"/>
    </font>
    <font>
      <b/>
      <sz val="18"/>
      <color indexed="56"/>
      <name val="宋体"/>
      <family val="3"/>
      <charset val="136"/>
    </font>
    <font>
      <b/>
      <sz val="15"/>
      <color indexed="56"/>
      <name val="宋体"/>
      <family val="3"/>
      <charset val="136"/>
    </font>
    <font>
      <b/>
      <sz val="13"/>
      <color indexed="56"/>
      <name val="宋体"/>
      <family val="3"/>
      <charset val="136"/>
    </font>
    <font>
      <b/>
      <sz val="11"/>
      <color indexed="56"/>
      <name val="宋体"/>
      <family val="3"/>
      <charset val="136"/>
    </font>
    <font>
      <b/>
      <sz val="11"/>
      <color indexed="9"/>
      <name val="宋体"/>
      <family val="3"/>
      <charset val="136"/>
    </font>
    <font>
      <b/>
      <sz val="11"/>
      <color indexed="8"/>
      <name val="宋体"/>
      <family val="3"/>
      <charset val="136"/>
    </font>
    <font>
      <b/>
      <sz val="11"/>
      <color indexed="52"/>
      <name val="宋体"/>
      <family val="3"/>
      <charset val="136"/>
    </font>
    <font>
      <sz val="12"/>
      <name val="奔覆眉"/>
      <family val="2"/>
      <charset val="134"/>
    </font>
    <font>
      <sz val="11"/>
      <color indexed="52"/>
      <name val="宋体"/>
      <family val="3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3"/>
      <name val="Arial"/>
      <family val="2"/>
    </font>
    <font>
      <sz val="11"/>
      <color theme="0"/>
      <name val="新細明體"/>
      <family val="1"/>
      <charset val="136"/>
      <scheme val="minor"/>
    </font>
    <font>
      <sz val="11"/>
      <color rgb="FF9C0006"/>
      <name val="新細明體"/>
      <family val="1"/>
      <charset val="136"/>
      <scheme val="minor"/>
    </font>
    <font>
      <b/>
      <sz val="11"/>
      <color rgb="FFFA7D00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1"/>
      <color rgb="FF3F3F76"/>
      <name val="新細明體"/>
      <family val="1"/>
      <charset val="136"/>
      <scheme val="minor"/>
    </font>
    <font>
      <sz val="11"/>
      <color rgb="FFFA7D00"/>
      <name val="新細明體"/>
      <family val="1"/>
      <charset val="136"/>
      <scheme val="minor"/>
    </font>
    <font>
      <sz val="11"/>
      <color rgb="FF9C6500"/>
      <name val="新細明體"/>
      <family val="1"/>
      <charset val="136"/>
      <scheme val="minor"/>
    </font>
    <font>
      <b/>
      <sz val="11"/>
      <color rgb="FF3F3F3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2"/>
      <color theme="1"/>
      <name val="新細明體"/>
      <family val="2"/>
      <charset val="134"/>
      <scheme val="minor"/>
    </font>
    <font>
      <u/>
      <sz val="12"/>
      <color theme="10"/>
      <name val="新細明體"/>
      <family val="2"/>
      <charset val="136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9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3"/>
      </patternFill>
    </fill>
    <fill>
      <patternFill patternType="mediumGray">
        <fgColor indexed="22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842">
    <xf numFmtId="0" fontId="0" fillId="0" borderId="0"/>
    <xf numFmtId="0" fontId="3" fillId="0" borderId="0">
      <alignment vertic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/>
    <xf numFmtId="177" fontId="8" fillId="0" borderId="0" applyNumberFormat="0" applyFill="0" applyProtection="0">
      <alignment vertical="center"/>
    </xf>
    <xf numFmtId="49" fontId="9" fillId="0" borderId="0" applyProtection="0">
      <alignment horizontal="left"/>
    </xf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8" fillId="0" borderId="0"/>
    <xf numFmtId="0" fontId="17" fillId="0" borderId="0"/>
    <xf numFmtId="0" fontId="18" fillId="0" borderId="0"/>
    <xf numFmtId="0" fontId="16" fillId="0" borderId="0">
      <alignment vertical="top"/>
    </xf>
    <xf numFmtId="0" fontId="11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38" fontId="19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7" fillId="0" borderId="0"/>
    <xf numFmtId="0" fontId="17" fillId="0" borderId="0"/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7" fillId="0" borderId="0"/>
    <xf numFmtId="38" fontId="19" fillId="0" borderId="0"/>
    <xf numFmtId="0" fontId="16" fillId="0" borderId="0">
      <alignment vertical="top"/>
    </xf>
    <xf numFmtId="0" fontId="17" fillId="0" borderId="0"/>
    <xf numFmtId="0" fontId="17" fillId="0" borderId="0"/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8" fillId="0" borderId="0"/>
    <xf numFmtId="0" fontId="17" fillId="0" borderId="0"/>
    <xf numFmtId="0" fontId="17" fillId="0" borderId="0"/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8" fillId="0" borderId="0"/>
    <xf numFmtId="0" fontId="17" fillId="0" borderId="0"/>
    <xf numFmtId="0" fontId="16" fillId="0" borderId="0">
      <alignment vertical="top"/>
    </xf>
    <xf numFmtId="0" fontId="8" fillId="0" borderId="0"/>
    <xf numFmtId="0" fontId="17" fillId="0" borderId="0"/>
    <xf numFmtId="0" fontId="17" fillId="0" borderId="0"/>
    <xf numFmtId="0" fontId="16" fillId="0" borderId="0">
      <alignment vertical="top"/>
    </xf>
    <xf numFmtId="0" fontId="18" fillId="0" borderId="0"/>
    <xf numFmtId="0" fontId="17" fillId="0" borderId="0"/>
    <xf numFmtId="0" fontId="16" fillId="0" borderId="0">
      <alignment vertical="top"/>
    </xf>
    <xf numFmtId="0" fontId="8" fillId="0" borderId="0"/>
    <xf numFmtId="0" fontId="17" fillId="0" borderId="0"/>
    <xf numFmtId="0" fontId="17" fillId="0" borderId="0"/>
    <xf numFmtId="0" fontId="16" fillId="0" borderId="0">
      <alignment vertical="top"/>
    </xf>
    <xf numFmtId="0" fontId="18" fillId="0" borderId="0"/>
    <xf numFmtId="0" fontId="17" fillId="0" borderId="0"/>
    <xf numFmtId="0" fontId="17" fillId="0" borderId="0"/>
    <xf numFmtId="0" fontId="16" fillId="0" borderId="0">
      <alignment vertical="top"/>
    </xf>
    <xf numFmtId="0" fontId="17" fillId="0" borderId="0"/>
    <xf numFmtId="0" fontId="18" fillId="0" borderId="0"/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8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8" fillId="0" borderId="0"/>
    <xf numFmtId="0" fontId="17" fillId="0" borderId="0"/>
    <xf numFmtId="0" fontId="16" fillId="0" borderId="0">
      <alignment vertical="top"/>
    </xf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>
      <alignment vertical="top"/>
    </xf>
    <xf numFmtId="0" fontId="8" fillId="0" borderId="0"/>
    <xf numFmtId="0" fontId="16" fillId="0" borderId="0">
      <alignment vertical="top"/>
    </xf>
    <xf numFmtId="0" fontId="8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8" fillId="0" borderId="0"/>
    <xf numFmtId="0" fontId="17" fillId="0" borderId="0"/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8" fillId="0" borderId="0"/>
    <xf numFmtId="0" fontId="16" fillId="0" borderId="0">
      <alignment vertical="top"/>
    </xf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7" fillId="0" borderId="0"/>
    <xf numFmtId="192" fontId="9" fillId="0" borderId="0" applyFill="0" applyBorder="0" applyProtection="0">
      <alignment horizontal="right"/>
    </xf>
    <xf numFmtId="193" fontId="9" fillId="0" borderId="0" applyFill="0" applyBorder="0" applyProtection="0">
      <alignment horizontal="right"/>
    </xf>
    <xf numFmtId="194" fontId="20" fillId="0" borderId="0" applyFill="0" applyBorder="0" applyProtection="0">
      <alignment horizontal="center"/>
    </xf>
    <xf numFmtId="195" fontId="20" fillId="0" borderId="0" applyFill="0" applyBorder="0" applyProtection="0">
      <alignment horizontal="center"/>
    </xf>
    <xf numFmtId="196" fontId="21" fillId="0" borderId="0" applyFill="0" applyBorder="0" applyProtection="0">
      <alignment horizontal="right"/>
    </xf>
    <xf numFmtId="197" fontId="9" fillId="0" borderId="0" applyFill="0" applyBorder="0" applyProtection="0">
      <alignment horizontal="right"/>
    </xf>
    <xf numFmtId="198" fontId="9" fillId="0" borderId="0" applyFill="0" applyBorder="0" applyProtection="0">
      <alignment horizontal="right"/>
    </xf>
    <xf numFmtId="199" fontId="9" fillId="0" borderId="0" applyFill="0" applyBorder="0" applyProtection="0">
      <alignment horizontal="right"/>
    </xf>
    <xf numFmtId="200" fontId="9" fillId="0" borderId="0" applyFill="0" applyBorder="0" applyProtection="0">
      <alignment horizontal="right"/>
    </xf>
    <xf numFmtId="0" fontId="22" fillId="0" borderId="0" applyNumberFormat="0" applyFill="0" applyBorder="0" applyAlignment="0" applyProtection="0">
      <alignment vertical="top"/>
      <protection locked="0"/>
    </xf>
    <xf numFmtId="201" fontId="11" fillId="0" borderId="0" applyFont="0" applyFill="0" applyBorder="0" applyAlignment="0" applyProtection="0"/>
    <xf numFmtId="0" fontId="8" fillId="0" borderId="0"/>
    <xf numFmtId="188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0" fontId="11" fillId="0" borderId="0" applyNumberFormat="0" applyFont="0" applyFill="0" applyBorder="0" applyAlignment="0">
      <alignment horizontal="center"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17" fillId="0" borderId="0" applyBorder="0"/>
    <xf numFmtId="0" fontId="67" fillId="39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18" fillId="0" borderId="0"/>
    <xf numFmtId="0" fontId="11" fillId="0" borderId="0" applyNumberFormat="0" applyFont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>
      <alignment horizontal="center" wrapText="1"/>
      <protection locked="0"/>
    </xf>
    <xf numFmtId="202" fontId="16" fillId="0" borderId="0" applyFill="0" applyBorder="0" applyAlignment="0"/>
    <xf numFmtId="203" fontId="17" fillId="0" borderId="0" applyFill="0" applyBorder="0" applyAlignment="0"/>
    <xf numFmtId="204" fontId="17" fillId="0" borderId="0" applyFill="0" applyBorder="0" applyAlignment="0"/>
    <xf numFmtId="205" fontId="17" fillId="0" borderId="0" applyFill="0" applyBorder="0" applyAlignment="0"/>
    <xf numFmtId="206" fontId="17" fillId="0" borderId="0" applyFill="0" applyBorder="0" applyAlignment="0"/>
    <xf numFmtId="207" fontId="17" fillId="0" borderId="0" applyFill="0" applyBorder="0" applyAlignment="0"/>
    <xf numFmtId="208" fontId="17" fillId="0" borderId="0" applyFill="0" applyBorder="0" applyAlignment="0"/>
    <xf numFmtId="203" fontId="17" fillId="0" borderId="0" applyFill="0" applyBorder="0" applyAlignment="0"/>
    <xf numFmtId="0" fontId="26" fillId="0" borderId="0"/>
    <xf numFmtId="0" fontId="27" fillId="0" borderId="13" applyNumberFormat="0" applyFill="0" applyProtection="0">
      <alignment horizontal="center"/>
    </xf>
    <xf numFmtId="0" fontId="28" fillId="0" borderId="14">
      <alignment horizontal="center"/>
    </xf>
    <xf numFmtId="177" fontId="3" fillId="0" borderId="0" applyFont="0" applyFill="0" applyBorder="0" applyAlignment="0" applyProtection="0">
      <alignment vertical="center"/>
    </xf>
    <xf numFmtId="209" fontId="17" fillId="0" borderId="0"/>
    <xf numFmtId="209" fontId="17" fillId="0" borderId="0"/>
    <xf numFmtId="209" fontId="17" fillId="0" borderId="0"/>
    <xf numFmtId="209" fontId="17" fillId="0" borderId="0"/>
    <xf numFmtId="209" fontId="17" fillId="0" borderId="0"/>
    <xf numFmtId="209" fontId="17" fillId="0" borderId="0"/>
    <xf numFmtId="209" fontId="17" fillId="0" borderId="0"/>
    <xf numFmtId="209" fontId="17" fillId="0" borderId="0"/>
    <xf numFmtId="207" fontId="17" fillId="0" borderId="0" applyFont="0" applyFill="0" applyBorder="0" applyAlignment="0" applyProtection="0"/>
    <xf numFmtId="210" fontId="17" fillId="0" borderId="0" applyFont="0" applyFill="0"/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211" fontId="9" fillId="0" borderId="0"/>
    <xf numFmtId="37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39" fontId="2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212" fontId="9" fillId="0" borderId="0"/>
    <xf numFmtId="0" fontId="30" fillId="0" borderId="0" applyNumberFormat="0" applyAlignment="0">
      <alignment horizontal="left"/>
    </xf>
    <xf numFmtId="213" fontId="9" fillId="0" borderId="0" applyFill="0" applyBorder="0" applyProtection="0"/>
    <xf numFmtId="214" fontId="31" fillId="0" borderId="0"/>
    <xf numFmtId="203" fontId="17" fillId="0" borderId="0" applyFont="0" applyFill="0" applyBorder="0" applyAlignment="0" applyProtection="0"/>
    <xf numFmtId="183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215" fontId="9" fillId="0" borderId="0"/>
    <xf numFmtId="216" fontId="17" fillId="0" borderId="0">
      <protection locked="0"/>
    </xf>
    <xf numFmtId="14" fontId="16" fillId="0" borderId="0" applyFill="0" applyBorder="0" applyAlignment="0"/>
    <xf numFmtId="0" fontId="32" fillId="0" borderId="0" applyFont="0" applyFill="0" applyBorder="0" applyAlignment="0" applyProtection="0"/>
    <xf numFmtId="217" fontId="9" fillId="0" borderId="0" applyFill="0" applyBorder="0" applyProtection="0"/>
    <xf numFmtId="218" fontId="9" fillId="0" borderId="0"/>
    <xf numFmtId="207" fontId="17" fillId="0" borderId="0" applyFill="0" applyBorder="0" applyAlignment="0"/>
    <xf numFmtId="203" fontId="17" fillId="0" borderId="0" applyFill="0" applyBorder="0" applyAlignment="0"/>
    <xf numFmtId="207" fontId="17" fillId="0" borderId="0" applyFill="0" applyBorder="0" applyAlignment="0"/>
    <xf numFmtId="208" fontId="17" fillId="0" borderId="0" applyFill="0" applyBorder="0" applyAlignment="0"/>
    <xf numFmtId="203" fontId="17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0" fontId="35" fillId="53" borderId="10"/>
    <xf numFmtId="219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216" fontId="17" fillId="0" borderId="0">
      <protection locked="0"/>
    </xf>
    <xf numFmtId="216" fontId="17" fillId="0" borderId="0">
      <protection locked="0"/>
    </xf>
    <xf numFmtId="216" fontId="17" fillId="0" borderId="0">
      <protection locked="0"/>
    </xf>
    <xf numFmtId="216" fontId="17" fillId="0" borderId="0">
      <protection locked="0"/>
    </xf>
    <xf numFmtId="216" fontId="17" fillId="0" borderId="0">
      <protection locked="0"/>
    </xf>
    <xf numFmtId="216" fontId="17" fillId="0" borderId="0">
      <protection locked="0"/>
    </xf>
    <xf numFmtId="216" fontId="17" fillId="0" borderId="0">
      <protection locked="0"/>
    </xf>
    <xf numFmtId="216" fontId="17" fillId="0" borderId="0">
      <protection locked="0"/>
    </xf>
    <xf numFmtId="38" fontId="35" fillId="54" borderId="0" applyNumberFormat="0" applyBorder="0" applyAlignment="0" applyProtection="0"/>
    <xf numFmtId="0" fontId="37" fillId="0" borderId="0">
      <alignment horizontal="left"/>
    </xf>
    <xf numFmtId="0" fontId="38" fillId="0" borderId="15" applyNumberFormat="0" applyAlignment="0" applyProtection="0">
      <alignment horizontal="left" vertical="center"/>
    </xf>
    <xf numFmtId="0" fontId="38" fillId="0" borderId="16">
      <alignment horizontal="left" vertical="center"/>
    </xf>
    <xf numFmtId="14" fontId="39" fillId="55" borderId="17">
      <alignment horizontal="center" vertical="center" wrapText="1"/>
    </xf>
    <xf numFmtId="216" fontId="17" fillId="0" borderId="0">
      <protection locked="0"/>
    </xf>
    <xf numFmtId="216" fontId="17" fillId="0" borderId="0">
      <protection locked="0"/>
    </xf>
    <xf numFmtId="0" fontId="40" fillId="0" borderId="17">
      <alignment horizontal="center"/>
    </xf>
    <xf numFmtId="0" fontId="40" fillId="0" borderId="0">
      <alignment horizontal="center"/>
    </xf>
    <xf numFmtId="10" fontId="35" fillId="56" borderId="10" applyNumberFormat="0" applyBorder="0" applyAlignment="0" applyProtection="0"/>
    <xf numFmtId="0" fontId="9" fillId="0" borderId="0" applyNumberFormat="0" applyFont="0" applyFill="0" applyBorder="0" applyProtection="0">
      <alignment horizontal="left" vertical="center"/>
    </xf>
    <xf numFmtId="207" fontId="17" fillId="0" borderId="0" applyFill="0" applyBorder="0" applyAlignment="0"/>
    <xf numFmtId="203" fontId="17" fillId="0" borderId="0" applyFill="0" applyBorder="0" applyAlignment="0"/>
    <xf numFmtId="207" fontId="17" fillId="0" borderId="0" applyFill="0" applyBorder="0" applyAlignment="0"/>
    <xf numFmtId="208" fontId="17" fillId="0" borderId="0" applyFill="0" applyBorder="0" applyAlignment="0"/>
    <xf numFmtId="203" fontId="17" fillId="0" borderId="0" applyFill="0" applyBorder="0" applyAlignment="0"/>
    <xf numFmtId="220" fontId="17" fillId="0" borderId="0" applyFont="0" applyFill="0" applyBorder="0" applyAlignment="0" applyProtection="0"/>
    <xf numFmtId="221" fontId="17" fillId="0" borderId="0" applyFont="0" applyFill="0" applyBorder="0" applyAlignment="0" applyProtection="0"/>
    <xf numFmtId="0" fontId="42" fillId="0" borderId="17"/>
    <xf numFmtId="185" fontId="17" fillId="0" borderId="0" applyFont="0" applyFill="0" applyBorder="0" applyAlignment="0" applyProtection="0"/>
    <xf numFmtId="186" fontId="17" fillId="0" borderId="0" applyFont="0" applyFill="0" applyBorder="0" applyAlignment="0" applyProtection="0"/>
    <xf numFmtId="0" fontId="17" fillId="0" borderId="0"/>
    <xf numFmtId="37" fontId="43" fillId="0" borderId="0"/>
    <xf numFmtId="222" fontId="44" fillId="0" borderId="0"/>
    <xf numFmtId="0" fontId="45" fillId="0" borderId="0" applyNumberFormat="0" applyBorder="0" applyAlignment="0"/>
    <xf numFmtId="0" fontId="3" fillId="0" borderId="0">
      <alignment vertical="center"/>
    </xf>
    <xf numFmtId="0" fontId="46" fillId="0" borderId="0"/>
    <xf numFmtId="40" fontId="10" fillId="59" borderId="0">
      <alignment horizontal="right"/>
    </xf>
    <xf numFmtId="0" fontId="47" fillId="59" borderId="24"/>
    <xf numFmtId="14" fontId="25" fillId="0" borderId="0">
      <alignment horizontal="center" wrapText="1"/>
      <protection locked="0"/>
    </xf>
    <xf numFmtId="9" fontId="3" fillId="0" borderId="0" applyFont="0" applyFill="0" applyBorder="0" applyAlignment="0" applyProtection="0">
      <alignment vertical="center"/>
    </xf>
    <xf numFmtId="223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224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0" fontId="35" fillId="54" borderId="10"/>
    <xf numFmtId="207" fontId="17" fillId="0" borderId="0" applyFill="0" applyBorder="0" applyAlignment="0"/>
    <xf numFmtId="203" fontId="17" fillId="0" borderId="0" applyFill="0" applyBorder="0" applyAlignment="0"/>
    <xf numFmtId="207" fontId="17" fillId="0" borderId="0" applyFill="0" applyBorder="0" applyAlignment="0"/>
    <xf numFmtId="208" fontId="17" fillId="0" borderId="0" applyFill="0" applyBorder="0" applyAlignment="0"/>
    <xf numFmtId="203" fontId="17" fillId="0" borderId="0" applyFill="0" applyBorder="0" applyAlignment="0"/>
    <xf numFmtId="4" fontId="34" fillId="0" borderId="0">
      <alignment horizontal="right"/>
    </xf>
    <xf numFmtId="225" fontId="8" fillId="0" borderId="0" applyFont="0" applyFill="0" applyBorder="0" applyAlignment="0" applyProtection="0"/>
    <xf numFmtId="0" fontId="48" fillId="0" borderId="0" applyNumberFormat="0" applyFont="0" applyFill="0" applyBorder="0" applyAlignment="0" applyProtection="0">
      <alignment horizontal="left"/>
    </xf>
    <xf numFmtId="0" fontId="49" fillId="0" borderId="17">
      <alignment horizontal="center"/>
    </xf>
    <xf numFmtId="0" fontId="50" fillId="60" borderId="0" applyNumberFormat="0" applyFont="0" applyBorder="0" applyAlignment="0">
      <alignment horizontal="center"/>
    </xf>
    <xf numFmtId="4" fontId="51" fillId="0" borderId="0">
      <alignment horizontal="right"/>
    </xf>
    <xf numFmtId="14" fontId="52" fillId="0" borderId="0" applyNumberFormat="0" applyFill="0" applyBorder="0" applyAlignment="0" applyProtection="0">
      <alignment horizontal="left"/>
    </xf>
    <xf numFmtId="0" fontId="53" fillId="0" borderId="0">
      <alignment horizontal="left"/>
    </xf>
    <xf numFmtId="0" fontId="50" fillId="1" borderId="16" applyNumberFormat="0" applyFont="0" applyAlignment="0">
      <alignment horizontal="center"/>
    </xf>
    <xf numFmtId="221" fontId="35" fillId="0" borderId="25"/>
    <xf numFmtId="0" fontId="54" fillId="0" borderId="0" applyNumberFormat="0" applyFill="0" applyBorder="0" applyAlignment="0">
      <alignment horizontal="center"/>
    </xf>
    <xf numFmtId="0" fontId="55" fillId="0" borderId="10">
      <alignment horizontal="center"/>
    </xf>
    <xf numFmtId="0" fontId="8" fillId="0" borderId="0"/>
    <xf numFmtId="0" fontId="17" fillId="0" borderId="0"/>
    <xf numFmtId="0" fontId="17" fillId="0" borderId="0"/>
    <xf numFmtId="0" fontId="55" fillId="0" borderId="0">
      <alignment horizontal="center" vertical="center"/>
    </xf>
    <xf numFmtId="0" fontId="56" fillId="61" borderId="0" applyNumberFormat="0" applyFill="0">
      <alignment horizontal="left" vertical="center"/>
    </xf>
    <xf numFmtId="0" fontId="42" fillId="0" borderId="0"/>
    <xf numFmtId="40" fontId="57" fillId="0" borderId="0" applyBorder="0">
      <alignment horizontal="right"/>
    </xf>
    <xf numFmtId="0" fontId="17" fillId="0" borderId="0"/>
    <xf numFmtId="49" fontId="16" fillId="0" borderId="0" applyFill="0" applyBorder="0" applyAlignment="0"/>
    <xf numFmtId="226" fontId="16" fillId="0" borderId="0" applyFill="0" applyBorder="0" applyAlignment="0"/>
    <xf numFmtId="227" fontId="17" fillId="0" borderId="0" applyFill="0" applyBorder="0" applyAlignment="0"/>
    <xf numFmtId="0" fontId="58" fillId="0" borderId="0" applyFill="0" applyBorder="0" applyProtection="0">
      <alignment horizontal="left" vertical="top"/>
    </xf>
    <xf numFmtId="0" fontId="59" fillId="0" borderId="0"/>
    <xf numFmtId="185" fontId="17" fillId="0" borderId="0" applyFont="0" applyFill="0" applyBorder="0" applyAlignment="0" applyProtection="0"/>
    <xf numFmtId="228" fontId="8" fillId="0" borderId="0" applyFont="0" applyFill="0" applyBorder="0" applyAlignment="0" applyProtection="0"/>
    <xf numFmtId="229" fontId="8" fillId="0" borderId="0" applyFont="0" applyFill="0" applyBorder="0" applyAlignment="0" applyProtection="0"/>
    <xf numFmtId="0" fontId="18" fillId="0" borderId="0" applyNumberFormat="0" applyFont="0" applyFill="0" applyBorder="0" applyProtection="0">
      <alignment horizontal="center" vertical="center" wrapText="1"/>
    </xf>
    <xf numFmtId="9" fontId="60" fillId="0" borderId="0" applyFont="0" applyFill="0" applyBorder="0" applyAlignment="0" applyProtection="0"/>
    <xf numFmtId="0" fontId="17" fillId="0" borderId="0"/>
    <xf numFmtId="220" fontId="17" fillId="0" borderId="0" applyFont="0" applyFill="0" applyBorder="0" applyAlignment="0" applyProtection="0"/>
    <xf numFmtId="221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45" fillId="0" borderId="0"/>
    <xf numFmtId="0" fontId="45" fillId="0" borderId="0"/>
    <xf numFmtId="0" fontId="17" fillId="0" borderId="0"/>
    <xf numFmtId="221" fontId="45" fillId="0" borderId="0" applyFont="0" applyFill="0" applyBorder="0" applyAlignment="0" applyProtection="0"/>
    <xf numFmtId="221" fontId="45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220" fontId="8" fillId="0" borderId="0" applyFont="0" applyFill="0" applyBorder="0" applyAlignment="0" applyProtection="0"/>
    <xf numFmtId="221" fontId="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63" fillId="0" borderId="0"/>
    <xf numFmtId="0" fontId="69" fillId="3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1" fillId="0" borderId="0"/>
    <xf numFmtId="0" fontId="45" fillId="58" borderId="22" applyNumberFormat="0" applyFont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4" fontId="18" fillId="0" borderId="0" applyFont="0" applyFill="0" applyBorder="0" applyAlignment="0" applyProtection="0"/>
    <xf numFmtId="220" fontId="17" fillId="0" borderId="0" applyFont="0" applyFill="0" applyBorder="0" applyAlignment="0" applyProtection="0"/>
    <xf numFmtId="0" fontId="71" fillId="57" borderId="0" applyNumberFormat="0" applyBorder="0" applyAlignment="0" applyProtection="0">
      <alignment vertical="center"/>
    </xf>
    <xf numFmtId="186" fontId="17" fillId="0" borderId="0" applyFont="0" applyFill="0" applyBorder="0" applyAlignment="0" applyProtection="0"/>
    <xf numFmtId="230" fontId="18" fillId="0" borderId="0" applyFont="0" applyFill="0" applyBorder="0" applyAlignment="0" applyProtection="0"/>
    <xf numFmtId="0" fontId="68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9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4" fillId="0" borderId="0" applyFont="0" applyFill="0" applyBorder="0" applyAlignment="0" applyProtection="0"/>
    <xf numFmtId="220" fontId="17" fillId="0" borderId="0" applyFont="0" applyFill="0" applyBorder="0" applyAlignment="0" applyProtection="0"/>
    <xf numFmtId="0" fontId="72" fillId="0" borderId="0" applyNumberForma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6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center"/>
    </xf>
    <xf numFmtId="220" fontId="61" fillId="0" borderId="0" applyFont="0" applyFill="0" applyBorder="0" applyAlignment="0" applyProtection="0"/>
    <xf numFmtId="221" fontId="61" fillId="0" borderId="0" applyFont="0" applyFill="0" applyBorder="0" applyAlignment="0" applyProtection="0"/>
    <xf numFmtId="231" fontId="61" fillId="0" borderId="0" applyFont="0" applyFill="0" applyBorder="0" applyAlignment="0" applyProtection="0"/>
    <xf numFmtId="232" fontId="61" fillId="0" borderId="0" applyFont="0" applyFill="0" applyBorder="0" applyAlignment="0" applyProtection="0"/>
    <xf numFmtId="0" fontId="62" fillId="0" borderId="0"/>
    <xf numFmtId="233" fontId="66" fillId="0" borderId="0" applyFont="0" applyFill="0" applyBorder="0" applyAlignment="0" applyProtection="0"/>
    <xf numFmtId="234" fontId="66" fillId="0" borderId="0" applyFont="0" applyFill="0" applyBorder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18" applyNumberFormat="0" applyFill="0" applyAlignment="0" applyProtection="0">
      <alignment vertical="center"/>
    </xf>
    <xf numFmtId="0" fontId="76" fillId="0" borderId="19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52" borderId="12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0" fontId="83" fillId="0" borderId="21" applyNumberFormat="0" applyFill="0" applyAlignment="0" applyProtection="0">
      <alignment vertical="center"/>
    </xf>
    <xf numFmtId="0" fontId="17" fillId="0" borderId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27" fillId="0" borderId="35" applyNumberFormat="0" applyFill="0" applyProtection="0">
      <alignment horizont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45" fillId="0" borderId="0" applyNumberFormat="0" applyBorder="0" applyAlignment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45" fillId="0" borderId="0"/>
    <xf numFmtId="0" fontId="45" fillId="0" borderId="0"/>
    <xf numFmtId="221" fontId="45" fillId="0" borderId="0" applyFont="0" applyFill="0" applyBorder="0" applyAlignment="0" applyProtection="0"/>
    <xf numFmtId="221" fontId="45" fillId="0" borderId="0" applyFont="0" applyFill="0" applyBorder="0" applyAlignment="0" applyProtection="0"/>
    <xf numFmtId="0" fontId="69" fillId="35" borderId="0" applyNumberFormat="0" applyBorder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18" applyNumberFormat="0" applyFill="0" applyAlignment="0" applyProtection="0">
      <alignment vertical="center"/>
    </xf>
    <xf numFmtId="0" fontId="76" fillId="0" borderId="19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52" borderId="12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0" fontId="83" fillId="0" borderId="21" applyNumberFormat="0" applyFill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260" fontId="97" fillId="0" borderId="0">
      <alignment vertical="center"/>
    </xf>
    <xf numFmtId="260" fontId="17" fillId="0" borderId="0"/>
    <xf numFmtId="260" fontId="89" fillId="0" borderId="0">
      <alignment vertical="center"/>
    </xf>
    <xf numFmtId="177" fontId="8" fillId="0" borderId="0" applyNumberFormat="0" applyFill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8" borderId="0" applyNumberFormat="0" applyBorder="0" applyAlignment="0" applyProtection="0">
      <alignment vertical="center"/>
    </xf>
    <xf numFmtId="0" fontId="101" fillId="39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9" borderId="0" applyNumberFormat="0" applyBorder="0" applyAlignment="0" applyProtection="0">
      <alignment vertical="center"/>
    </xf>
    <xf numFmtId="0" fontId="101" fillId="42" borderId="0" applyNumberFormat="0" applyBorder="0" applyAlignment="0" applyProtection="0">
      <alignment vertical="center"/>
    </xf>
    <xf numFmtId="0" fontId="102" fillId="43" borderId="0" applyNumberFormat="0" applyBorder="0" applyAlignment="0" applyProtection="0">
      <alignment vertical="center"/>
    </xf>
    <xf numFmtId="0" fontId="102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4" borderId="0" applyNumberFormat="0" applyBorder="0" applyAlignment="0" applyProtection="0">
      <alignment vertical="center"/>
    </xf>
    <xf numFmtId="0" fontId="102" fillId="45" borderId="0" applyNumberFormat="0" applyBorder="0" applyAlignment="0" applyProtection="0">
      <alignment vertical="center"/>
    </xf>
    <xf numFmtId="0" fontId="102" fillId="46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00" fillId="0" borderId="0" applyNumberFormat="0" applyBorder="0" applyAlignment="0"/>
    <xf numFmtId="177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0" fontId="100" fillId="0" borderId="0"/>
    <xf numFmtId="0" fontId="100" fillId="0" borderId="0"/>
    <xf numFmtId="221" fontId="100" fillId="0" borderId="0" applyFont="0" applyFill="0" applyBorder="0" applyAlignment="0" applyProtection="0"/>
    <xf numFmtId="221" fontId="100" fillId="0" borderId="0" applyFont="0" applyFill="0" applyBorder="0" applyAlignment="0" applyProtection="0"/>
    <xf numFmtId="0" fontId="10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100" fillId="58" borderId="22" applyNumberFormat="0" applyFont="0" applyAlignment="0" applyProtection="0">
      <alignment vertical="center"/>
    </xf>
    <xf numFmtId="0" fontId="104" fillId="34" borderId="0" applyNumberFormat="0" applyBorder="0" applyAlignment="0" applyProtection="0">
      <alignment vertical="center"/>
    </xf>
    <xf numFmtId="0" fontId="105" fillId="57" borderId="0" applyNumberFormat="0" applyBorder="0" applyAlignment="0" applyProtection="0">
      <alignment vertical="center"/>
    </xf>
    <xf numFmtId="0" fontId="102" fillId="47" borderId="0" applyNumberFormat="0" applyBorder="0" applyAlignment="0" applyProtection="0">
      <alignment vertical="center"/>
    </xf>
    <xf numFmtId="0" fontId="102" fillId="48" borderId="0" applyNumberFormat="0" applyBorder="0" applyAlignment="0" applyProtection="0">
      <alignment vertical="center"/>
    </xf>
    <xf numFmtId="0" fontId="102" fillId="49" borderId="0" applyNumberFormat="0" applyBorder="0" applyAlignment="0" applyProtection="0">
      <alignment vertical="center"/>
    </xf>
    <xf numFmtId="0" fontId="102" fillId="44" borderId="0" applyNumberFormat="0" applyBorder="0" applyAlignment="0" applyProtection="0">
      <alignment vertical="center"/>
    </xf>
    <xf numFmtId="0" fontId="102" fillId="45" borderId="0" applyNumberFormat="0" applyBorder="0" applyAlignment="0" applyProtection="0">
      <alignment vertical="center"/>
    </xf>
    <xf numFmtId="0" fontId="102" fillId="50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5" fillId="38" borderId="11" applyNumberForma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18" applyNumberFormat="0" applyFill="0" applyAlignment="0" applyProtection="0">
      <alignment vertical="center"/>
    </xf>
    <xf numFmtId="0" fontId="110" fillId="0" borderId="19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52" borderId="12" applyNumberFormat="0" applyAlignment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114" fillId="51" borderId="11" applyNumberFormat="0" applyAlignment="0" applyProtection="0">
      <alignment vertical="center"/>
    </xf>
    <xf numFmtId="177" fontId="17" fillId="0" borderId="10" applyNumberFormat="0"/>
    <xf numFmtId="0" fontId="124" fillId="0" borderId="0">
      <alignment vertical="center"/>
    </xf>
    <xf numFmtId="0" fontId="117" fillId="0" borderId="21" applyNumberFormat="0" applyFill="0" applyAlignment="0" applyProtection="0">
      <alignment vertical="center"/>
    </xf>
    <xf numFmtId="0" fontId="17" fillId="0" borderId="0"/>
    <xf numFmtId="177" fontId="99" fillId="0" borderId="0" applyFont="0" applyFill="0" applyBorder="0" applyAlignment="0" applyProtection="0">
      <alignment vertical="center"/>
    </xf>
    <xf numFmtId="261" fontId="118" fillId="0" borderId="0">
      <alignment vertical="center"/>
    </xf>
    <xf numFmtId="0" fontId="1" fillId="0" borderId="0"/>
    <xf numFmtId="22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261" fontId="119" fillId="0" borderId="0"/>
    <xf numFmtId="261" fontId="104" fillId="62" borderId="0" applyProtection="0">
      <alignment vertical="center"/>
    </xf>
    <xf numFmtId="9" fontId="17" fillId="0" borderId="0" applyFont="0" applyFill="0" applyBorder="0" applyAlignment="0" applyProtection="0"/>
    <xf numFmtId="221" fontId="118" fillId="0" borderId="0" applyProtection="0">
      <alignment vertical="center"/>
    </xf>
    <xf numFmtId="0" fontId="120" fillId="0" borderId="0">
      <alignment vertical="center"/>
    </xf>
    <xf numFmtId="221" fontId="120" fillId="0" borderId="0" applyFont="0" applyFill="0" applyBorder="0" applyAlignment="0" applyProtection="0">
      <alignment vertical="center"/>
    </xf>
    <xf numFmtId="261" fontId="121" fillId="0" borderId="0"/>
    <xf numFmtId="261" fontId="122" fillId="0" borderId="0" applyNumberFormat="0" applyFill="0" applyBorder="0" applyAlignment="0" applyProtection="0">
      <alignment vertical="top"/>
      <protection locked="0"/>
    </xf>
    <xf numFmtId="221" fontId="123" fillId="0" borderId="0" applyFont="0" applyFill="0" applyBorder="0" applyAlignment="0" applyProtection="0"/>
    <xf numFmtId="9" fontId="118" fillId="0" borderId="0" applyProtection="0">
      <alignment vertical="center"/>
    </xf>
    <xf numFmtId="0" fontId="121" fillId="0" borderId="0"/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1" fillId="0" borderId="0"/>
    <xf numFmtId="22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0" fillId="0" borderId="0">
      <alignment vertical="center"/>
    </xf>
    <xf numFmtId="221" fontId="120" fillId="0" borderId="0" applyFont="0" applyFill="0" applyBorder="0" applyAlignment="0" applyProtection="0">
      <alignment vertical="center"/>
    </xf>
    <xf numFmtId="221" fontId="8" fillId="0" borderId="0" applyNumberFormat="0" applyFill="0" applyProtection="0">
      <alignment vertical="center"/>
    </xf>
    <xf numFmtId="221" fontId="3" fillId="0" borderId="0" applyFont="0" applyFill="0" applyBorder="0" applyAlignment="0" applyProtection="0">
      <alignment vertical="center"/>
    </xf>
    <xf numFmtId="221" fontId="3" fillId="0" borderId="0" applyFont="0" applyFill="0" applyBorder="0" applyAlignment="0" applyProtection="0">
      <alignment vertical="center"/>
    </xf>
    <xf numFmtId="221" fontId="3" fillId="0" borderId="0" applyFont="0" applyFill="0" applyBorder="0" applyAlignment="0" applyProtection="0"/>
    <xf numFmtId="221" fontId="35" fillId="0" borderId="25"/>
    <xf numFmtId="221" fontId="100" fillId="0" borderId="0" applyFont="0" applyFill="0" applyBorder="0" applyAlignment="0" applyProtection="0"/>
    <xf numFmtId="221" fontId="100" fillId="0" borderId="0" applyFont="0" applyFill="0" applyBorder="0" applyAlignment="0" applyProtection="0"/>
    <xf numFmtId="221" fontId="99" fillId="0" borderId="0" applyFont="0" applyFill="0" applyBorder="0" applyAlignment="0" applyProtection="0">
      <alignment vertical="center"/>
    </xf>
    <xf numFmtId="0" fontId="1" fillId="0" borderId="0"/>
    <xf numFmtId="22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221" fontId="118" fillId="0" borderId="0" applyProtection="0">
      <alignment vertical="center"/>
    </xf>
    <xf numFmtId="221" fontId="120" fillId="0" borderId="0" applyFont="0" applyFill="0" applyBorder="0" applyAlignment="0" applyProtection="0">
      <alignment vertical="center"/>
    </xf>
    <xf numFmtId="221" fontId="123" fillId="0" borderId="0" applyFont="0" applyFill="0" applyBorder="0" applyAlignment="0" applyProtection="0"/>
    <xf numFmtId="221" fontId="99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221" fontId="35" fillId="0" borderId="25"/>
    <xf numFmtId="221" fontId="100" fillId="0" borderId="0" applyFont="0" applyFill="0" applyBorder="0" applyAlignment="0" applyProtection="0"/>
    <xf numFmtId="221" fontId="100" fillId="0" borderId="0" applyFont="0" applyFill="0" applyBorder="0" applyAlignment="0" applyProtection="0"/>
    <xf numFmtId="22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22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221" fontId="118" fillId="0" borderId="0" applyProtection="0">
      <alignment vertical="center"/>
    </xf>
    <xf numFmtId="221" fontId="120" fillId="0" borderId="0" applyFont="0" applyFill="0" applyBorder="0" applyAlignment="0" applyProtection="0">
      <alignment vertical="center"/>
    </xf>
    <xf numFmtId="221" fontId="123" fillId="0" borderId="0" applyFont="0" applyFill="0" applyBorder="0" applyAlignment="0" applyProtection="0"/>
    <xf numFmtId="221" fontId="35" fillId="0" borderId="25"/>
    <xf numFmtId="221" fontId="100" fillId="0" borderId="0" applyFont="0" applyFill="0" applyBorder="0" applyAlignment="0" applyProtection="0"/>
    <xf numFmtId="221" fontId="100" fillId="0" borderId="0" applyFont="0" applyFill="0" applyBorder="0" applyAlignment="0" applyProtection="0"/>
    <xf numFmtId="0" fontId="1" fillId="0" borderId="0"/>
    <xf numFmtId="22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221" fontId="118" fillId="0" borderId="0" applyProtection="0">
      <alignment vertical="center"/>
    </xf>
    <xf numFmtId="221" fontId="120" fillId="0" borderId="0" applyFont="0" applyFill="0" applyBorder="0" applyAlignment="0" applyProtection="0">
      <alignment vertical="center"/>
    </xf>
    <xf numFmtId="221" fontId="123" fillId="0" borderId="0" applyFont="0" applyFill="0" applyBorder="0" applyAlignment="0" applyProtection="0"/>
    <xf numFmtId="0" fontId="1" fillId="0" borderId="0"/>
    <xf numFmtId="221" fontId="1" fillId="0" borderId="0" applyFont="0" applyFill="0" applyBorder="0" applyAlignment="0" applyProtection="0">
      <alignment vertical="center"/>
    </xf>
    <xf numFmtId="261" fontId="122" fillId="0" borderId="0" applyNumberFormat="0" applyFill="0" applyBorder="0" applyAlignment="0" applyProtection="0">
      <alignment vertical="top"/>
      <protection locked="0"/>
    </xf>
    <xf numFmtId="221" fontId="123" fillId="0" borderId="0" applyFont="0" applyFill="0" applyBorder="0" applyAlignment="0" applyProtection="0"/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0" fontId="49" fillId="0" borderId="17">
      <alignment horizontal="center"/>
    </xf>
    <xf numFmtId="0" fontId="35" fillId="54" borderId="37"/>
    <xf numFmtId="0" fontId="42" fillId="0" borderId="17"/>
    <xf numFmtId="10" fontId="35" fillId="56" borderId="37" applyNumberFormat="0" applyBorder="0" applyAlignment="0" applyProtection="0"/>
    <xf numFmtId="0" fontId="40" fillId="0" borderId="17">
      <alignment horizontal="center"/>
    </xf>
    <xf numFmtId="14" fontId="39" fillId="55" borderId="17">
      <alignment horizontal="center" vertical="center" wrapText="1"/>
    </xf>
    <xf numFmtId="0" fontId="35" fillId="53" borderId="37"/>
    <xf numFmtId="0" fontId="55" fillId="0" borderId="10">
      <alignment horizontal="center"/>
    </xf>
    <xf numFmtId="220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0" fontId="45" fillId="58" borderId="22" applyNumberFormat="0" applyFont="0" applyAlignment="0" applyProtection="0">
      <alignment vertical="center"/>
    </xf>
    <xf numFmtId="0" fontId="11" fillId="0" borderId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98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177" fontId="98" fillId="0" borderId="0" applyFont="0" applyFill="0" applyBorder="0" applyAlignment="0" applyProtection="0">
      <alignment vertical="center"/>
    </xf>
    <xf numFmtId="0" fontId="17" fillId="0" borderId="0"/>
    <xf numFmtId="0" fontId="125" fillId="0" borderId="0"/>
    <xf numFmtId="0" fontId="125" fillId="0" borderId="0"/>
    <xf numFmtId="0" fontId="126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126" fillId="0" borderId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0" fontId="17" fillId="0" borderId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5" fillId="53" borderId="37"/>
    <xf numFmtId="0" fontId="38" fillId="0" borderId="38">
      <alignment horizontal="left" vertical="center"/>
    </xf>
    <xf numFmtId="14" fontId="39" fillId="55" borderId="17">
      <alignment horizontal="center" vertical="center" wrapText="1"/>
    </xf>
    <xf numFmtId="0" fontId="40" fillId="0" borderId="17">
      <alignment horizontal="center"/>
    </xf>
    <xf numFmtId="10" fontId="35" fillId="56" borderId="37" applyNumberFormat="0" applyBorder="0" applyAlignment="0" applyProtection="0"/>
    <xf numFmtId="0" fontId="42" fillId="0" borderId="17"/>
    <xf numFmtId="0" fontId="35" fillId="54" borderId="37"/>
    <xf numFmtId="0" fontId="49" fillId="0" borderId="17">
      <alignment horizontal="center"/>
    </xf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177" fontId="17" fillId="0" borderId="0" applyFont="0" applyFill="0" applyBorder="0" applyAlignment="0" applyProtection="0"/>
    <xf numFmtId="0" fontId="77" fillId="0" borderId="20" applyNumberFormat="0" applyFill="0" applyAlignment="0" applyProtection="0">
      <alignment vertical="center"/>
    </xf>
    <xf numFmtId="177" fontId="17" fillId="0" borderId="37" applyNumberFormat="0"/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27" fillId="0" borderId="13" applyNumberFormat="0" applyFill="0" applyProtection="0">
      <alignment horizontal="center"/>
    </xf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45" fillId="0" borderId="0" applyNumberFormat="0" applyBorder="0" applyAlignment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45" fillId="0" borderId="0"/>
    <xf numFmtId="0" fontId="45" fillId="0" borderId="0"/>
    <xf numFmtId="221" fontId="45" fillId="0" borderId="0" applyFont="0" applyFill="0" applyBorder="0" applyAlignment="0" applyProtection="0"/>
    <xf numFmtId="221" fontId="45" fillId="0" borderId="0" applyFont="0" applyFill="0" applyBorder="0" applyAlignment="0" applyProtection="0"/>
    <xf numFmtId="0" fontId="69" fillId="35" borderId="0" applyNumberFormat="0" applyBorder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18" applyNumberFormat="0" applyFill="0" applyAlignment="0" applyProtection="0">
      <alignment vertical="center"/>
    </xf>
    <xf numFmtId="0" fontId="76" fillId="0" borderId="19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52" borderId="12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0" fontId="83" fillId="0" borderId="21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177" fontId="17" fillId="0" borderId="0" applyFont="0" applyFill="0" applyBorder="0" applyAlignment="0" applyProtection="0"/>
    <xf numFmtId="0" fontId="115" fillId="38" borderId="11" applyNumberForma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114" fillId="51" borderId="11" applyNumberFormat="0" applyAlignment="0" applyProtection="0">
      <alignment vertical="center"/>
    </xf>
    <xf numFmtId="177" fontId="17" fillId="0" borderId="37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0" fontId="49" fillId="0" borderId="17">
      <alignment horizontal="center"/>
    </xf>
    <xf numFmtId="0" fontId="35" fillId="54" borderId="37"/>
    <xf numFmtId="0" fontId="42" fillId="0" borderId="17"/>
    <xf numFmtId="10" fontId="35" fillId="56" borderId="37" applyNumberFormat="0" applyBorder="0" applyAlignment="0" applyProtection="0"/>
    <xf numFmtId="0" fontId="40" fillId="0" borderId="17">
      <alignment horizontal="center"/>
    </xf>
    <xf numFmtId="14" fontId="39" fillId="55" borderId="17">
      <alignment horizontal="center" vertical="center" wrapText="1"/>
    </xf>
    <xf numFmtId="0" fontId="35" fillId="53" borderId="37"/>
    <xf numFmtId="0" fontId="55" fillId="0" borderId="37">
      <alignment horizontal="center"/>
    </xf>
    <xf numFmtId="0" fontId="81" fillId="38" borderId="11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177" fontId="91" fillId="0" borderId="0" applyFont="0" applyFill="0" applyBorder="0" applyAlignment="0" applyProtection="0"/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177" fontId="17" fillId="0" borderId="0" applyFont="0" applyFill="0" applyBorder="0" applyAlignment="0" applyProtection="0"/>
    <xf numFmtId="0" fontId="116" fillId="51" borderId="23" applyNumberFormat="0" applyAlignment="0" applyProtection="0">
      <alignment vertical="center"/>
    </xf>
    <xf numFmtId="177" fontId="17" fillId="0" borderId="37" applyNumberFormat="0"/>
    <xf numFmtId="176" fontId="3" fillId="0" borderId="0" applyFont="0" applyFill="0" applyBorder="0" applyAlignment="0" applyProtection="0">
      <alignment vertical="center"/>
    </xf>
    <xf numFmtId="0" fontId="1" fillId="0" borderId="0"/>
    <xf numFmtId="0" fontId="2" fillId="0" borderId="0">
      <alignment vertical="center"/>
    </xf>
    <xf numFmtId="221" fontId="2" fillId="0" borderId="0" applyFont="0" applyFill="0" applyBorder="0" applyAlignment="0" applyProtection="0">
      <alignment vertical="center"/>
    </xf>
    <xf numFmtId="0" fontId="1" fillId="0" borderId="0"/>
    <xf numFmtId="9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/>
    <xf numFmtId="265" fontId="3" fillId="0" borderId="0" applyFill="0" applyBorder="0" applyAlignment="0" applyProtection="0"/>
    <xf numFmtId="0" fontId="118" fillId="0" borderId="0"/>
    <xf numFmtId="0" fontId="3" fillId="0" borderId="0"/>
    <xf numFmtId="177" fontId="6" fillId="0" borderId="0" applyFont="0" applyFill="0" applyBorder="0" applyAlignment="0" applyProtection="0"/>
    <xf numFmtId="221" fontId="118" fillId="0" borderId="0" applyFont="0" applyFill="0" applyBorder="0" applyAlignment="0" applyProtection="0">
      <alignment vertical="center"/>
    </xf>
    <xf numFmtId="0" fontId="3" fillId="0" borderId="0"/>
    <xf numFmtId="221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5" fontId="23" fillId="0" borderId="0" applyFont="0" applyFill="0" applyBorder="0" applyAlignment="0" applyProtection="0"/>
    <xf numFmtId="7" fontId="23" fillId="0" borderId="0" applyFont="0" applyFill="0" applyBorder="0" applyAlignment="0" applyProtection="0"/>
    <xf numFmtId="0" fontId="35" fillId="53" borderId="37"/>
    <xf numFmtId="0" fontId="38" fillId="0" borderId="38">
      <alignment horizontal="left" vertical="center"/>
    </xf>
    <xf numFmtId="14" fontId="39" fillId="55" borderId="17">
      <alignment horizontal="center" vertical="center" wrapText="1"/>
    </xf>
    <xf numFmtId="0" fontId="40" fillId="0" borderId="17">
      <alignment horizontal="center"/>
    </xf>
    <xf numFmtId="10" fontId="35" fillId="56" borderId="37" applyNumberFormat="0" applyBorder="0" applyAlignment="0" applyProtection="0"/>
    <xf numFmtId="0" fontId="42" fillId="0" borderId="17"/>
    <xf numFmtId="0" fontId="55" fillId="0" borderId="37">
      <alignment horizontal="center"/>
    </xf>
    <xf numFmtId="0" fontId="35" fillId="54" borderId="37"/>
    <xf numFmtId="0" fontId="49" fillId="0" borderId="17">
      <alignment horizontal="center"/>
    </xf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177" fontId="17" fillId="0" borderId="37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221" fontId="2" fillId="0" borderId="0" applyFont="0" applyFill="0" applyBorder="0" applyAlignment="0" applyProtection="0">
      <alignment vertical="center"/>
    </xf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221" fontId="4" fillId="0" borderId="0" applyFont="0" applyFill="0" applyBorder="0" applyAlignment="0" applyProtection="0">
      <alignment vertical="center"/>
    </xf>
    <xf numFmtId="0" fontId="98" fillId="0" borderId="0"/>
    <xf numFmtId="0" fontId="98" fillId="0" borderId="0"/>
    <xf numFmtId="0" fontId="98" fillId="0" borderId="0"/>
    <xf numFmtId="0" fontId="98" fillId="0" borderId="0"/>
    <xf numFmtId="221" fontId="127" fillId="0" borderId="0" applyFont="0" applyFill="0" applyBorder="0" applyAlignment="0" applyProtection="0"/>
    <xf numFmtId="0" fontId="98" fillId="0" borderId="0"/>
    <xf numFmtId="0" fontId="128" fillId="0" borderId="0"/>
    <xf numFmtId="220" fontId="8" fillId="0" borderId="0" applyFont="0" applyFill="0" applyBorder="0" applyAlignment="0" applyProtection="0"/>
    <xf numFmtId="0" fontId="133" fillId="0" borderId="0">
      <protection locked="0"/>
    </xf>
    <xf numFmtId="220" fontId="134" fillId="0" borderId="0"/>
    <xf numFmtId="177" fontId="17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top"/>
      <protection locked="0"/>
    </xf>
    <xf numFmtId="266" fontId="136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1" fontId="48" fillId="0" borderId="0"/>
    <xf numFmtId="0" fontId="3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267" fontId="17" fillId="0" borderId="0">
      <alignment vertical="center"/>
    </xf>
    <xf numFmtId="0" fontId="128" fillId="10" borderId="0" applyNumberFormat="0" applyBorder="0" applyAlignment="0" applyProtection="0"/>
    <xf numFmtId="0" fontId="128" fillId="14" borderId="0" applyNumberFormat="0" applyBorder="0" applyAlignment="0" applyProtection="0"/>
    <xf numFmtId="0" fontId="128" fillId="18" borderId="0" applyNumberFormat="0" applyBorder="0" applyAlignment="0" applyProtection="0"/>
    <xf numFmtId="0" fontId="128" fillId="22" borderId="0" applyNumberFormat="0" applyBorder="0" applyAlignment="0" applyProtection="0"/>
    <xf numFmtId="0" fontId="128" fillId="26" borderId="0" applyNumberFormat="0" applyBorder="0" applyAlignment="0" applyProtection="0"/>
    <xf numFmtId="0" fontId="128" fillId="30" borderId="0" applyNumberFormat="0" applyBorder="0" applyAlignment="0" applyProtection="0"/>
    <xf numFmtId="0" fontId="138" fillId="33" borderId="0" applyNumberFormat="0" applyBorder="0" applyAlignment="0" applyProtection="0">
      <alignment vertical="center"/>
    </xf>
    <xf numFmtId="0" fontId="138" fillId="34" borderId="0" applyNumberFormat="0" applyBorder="0" applyAlignment="0" applyProtection="0">
      <alignment vertical="center"/>
    </xf>
    <xf numFmtId="0" fontId="138" fillId="35" borderId="0" applyNumberFormat="0" applyBorder="0" applyAlignment="0" applyProtection="0">
      <alignment vertical="center"/>
    </xf>
    <xf numFmtId="0" fontId="138" fillId="36" borderId="0" applyNumberFormat="0" applyBorder="0" applyAlignment="0" applyProtection="0">
      <alignment vertical="center"/>
    </xf>
    <xf numFmtId="0" fontId="138" fillId="37" borderId="0" applyNumberFormat="0" applyBorder="0" applyAlignment="0" applyProtection="0">
      <alignment vertical="center"/>
    </xf>
    <xf numFmtId="0" fontId="138" fillId="38" borderId="0" applyNumberFormat="0" applyBorder="0" applyAlignment="0" applyProtection="0">
      <alignment vertical="center"/>
    </xf>
    <xf numFmtId="0" fontId="133" fillId="0" borderId="0">
      <protection locked="0"/>
    </xf>
    <xf numFmtId="214" fontId="63" fillId="0" borderId="0"/>
    <xf numFmtId="0" fontId="139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40" fillId="0" borderId="0" applyFont="0" applyFill="0" applyBorder="0" applyAlignment="0" applyProtection="0"/>
    <xf numFmtId="0" fontId="140" fillId="0" borderId="0" applyFont="0" applyFill="0" applyBorder="0" applyAlignment="0" applyProtection="0"/>
    <xf numFmtId="0" fontId="140" fillId="0" borderId="0" applyFont="0" applyFill="0" applyBorder="0" applyAlignment="0" applyProtection="0"/>
    <xf numFmtId="42" fontId="32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8" fillId="0" borderId="0"/>
    <xf numFmtId="0" fontId="128" fillId="11" borderId="0" applyNumberFormat="0" applyBorder="0" applyAlignment="0" applyProtection="0"/>
    <xf numFmtId="0" fontId="128" fillId="15" borderId="0" applyNumberFormat="0" applyBorder="0" applyAlignment="0" applyProtection="0"/>
    <xf numFmtId="0" fontId="128" fillId="19" borderId="0" applyNumberFormat="0" applyBorder="0" applyAlignment="0" applyProtection="0"/>
    <xf numFmtId="0" fontId="128" fillId="23" borderId="0" applyNumberFormat="0" applyBorder="0" applyAlignment="0" applyProtection="0"/>
    <xf numFmtId="0" fontId="128" fillId="27" borderId="0" applyNumberFormat="0" applyBorder="0" applyAlignment="0" applyProtection="0"/>
    <xf numFmtId="0" fontId="128" fillId="31" borderId="0" applyNumberFormat="0" applyBorder="0" applyAlignment="0" applyProtection="0"/>
    <xf numFmtId="0" fontId="138" fillId="39" borderId="0" applyNumberFormat="0" applyBorder="0" applyAlignment="0" applyProtection="0">
      <alignment vertical="center"/>
    </xf>
    <xf numFmtId="0" fontId="138" fillId="40" borderId="0" applyNumberFormat="0" applyBorder="0" applyAlignment="0" applyProtection="0">
      <alignment vertical="center"/>
    </xf>
    <xf numFmtId="0" fontId="138" fillId="41" borderId="0" applyNumberFormat="0" applyBorder="0" applyAlignment="0" applyProtection="0">
      <alignment vertical="center"/>
    </xf>
    <xf numFmtId="0" fontId="138" fillId="36" borderId="0" applyNumberFormat="0" applyBorder="0" applyAlignment="0" applyProtection="0">
      <alignment vertical="center"/>
    </xf>
    <xf numFmtId="0" fontId="138" fillId="39" borderId="0" applyNumberFormat="0" applyBorder="0" applyAlignment="0" applyProtection="0">
      <alignment vertical="center"/>
    </xf>
    <xf numFmtId="0" fontId="138" fillId="42" borderId="0" applyNumberFormat="0" applyBorder="0" applyAlignment="0" applyProtection="0">
      <alignment vertical="center"/>
    </xf>
    <xf numFmtId="0" fontId="191" fillId="12" borderId="0" applyNumberFormat="0" applyBorder="0" applyAlignment="0" applyProtection="0"/>
    <xf numFmtId="0" fontId="191" fillId="16" borderId="0" applyNumberFormat="0" applyBorder="0" applyAlignment="0" applyProtection="0"/>
    <xf numFmtId="0" fontId="191" fillId="20" borderId="0" applyNumberFormat="0" applyBorder="0" applyAlignment="0" applyProtection="0"/>
    <xf numFmtId="0" fontId="191" fillId="24" borderId="0" applyNumberFormat="0" applyBorder="0" applyAlignment="0" applyProtection="0"/>
    <xf numFmtId="0" fontId="191" fillId="28" borderId="0" applyNumberFormat="0" applyBorder="0" applyAlignment="0" applyProtection="0"/>
    <xf numFmtId="0" fontId="191" fillId="32" borderId="0" applyNumberFormat="0" applyBorder="0" applyAlignment="0" applyProtection="0"/>
    <xf numFmtId="0" fontId="141" fillId="43" borderId="0" applyNumberFormat="0" applyBorder="0" applyAlignment="0" applyProtection="0">
      <alignment vertical="center"/>
    </xf>
    <xf numFmtId="0" fontId="141" fillId="40" borderId="0" applyNumberFormat="0" applyBorder="0" applyAlignment="0" applyProtection="0">
      <alignment vertical="center"/>
    </xf>
    <xf numFmtId="0" fontId="141" fillId="41" borderId="0" applyNumberFormat="0" applyBorder="0" applyAlignment="0" applyProtection="0">
      <alignment vertical="center"/>
    </xf>
    <xf numFmtId="0" fontId="141" fillId="44" borderId="0" applyNumberFormat="0" applyBorder="0" applyAlignment="0" applyProtection="0">
      <alignment vertical="center"/>
    </xf>
    <xf numFmtId="0" fontId="141" fillId="45" borderId="0" applyNumberFormat="0" applyBorder="0" applyAlignment="0" applyProtection="0">
      <alignment vertical="center"/>
    </xf>
    <xf numFmtId="0" fontId="141" fillId="46" borderId="0" applyNumberFormat="0" applyBorder="0" applyAlignment="0" applyProtection="0">
      <alignment vertical="center"/>
    </xf>
    <xf numFmtId="0" fontId="85" fillId="0" borderId="0">
      <alignment horizontal="left"/>
    </xf>
    <xf numFmtId="0" fontId="191" fillId="9" borderId="0" applyNumberFormat="0" applyBorder="0" applyAlignment="0" applyProtection="0"/>
    <xf numFmtId="0" fontId="191" fillId="13" borderId="0" applyNumberFormat="0" applyBorder="0" applyAlignment="0" applyProtection="0"/>
    <xf numFmtId="0" fontId="191" fillId="17" borderId="0" applyNumberFormat="0" applyBorder="0" applyAlignment="0" applyProtection="0"/>
    <xf numFmtId="0" fontId="191" fillId="21" borderId="0" applyNumberFormat="0" applyBorder="0" applyAlignment="0" applyProtection="0"/>
    <xf numFmtId="0" fontId="191" fillId="25" borderId="0" applyNumberFormat="0" applyBorder="0" applyAlignment="0" applyProtection="0"/>
    <xf numFmtId="0" fontId="191" fillId="29" borderId="0" applyNumberFormat="0" applyBorder="0" applyAlignment="0" applyProtection="0"/>
    <xf numFmtId="0" fontId="17" fillId="63" borderId="0" applyNumberFormat="0" applyProtection="0">
      <alignment horizontal="center"/>
      <protection locked="0" hidden="1"/>
    </xf>
    <xf numFmtId="9" fontId="142" fillId="0" borderId="0" applyFont="0" applyFill="0" applyBorder="0" applyAlignment="0" applyProtection="0"/>
    <xf numFmtId="233" fontId="136" fillId="0" borderId="0" applyFont="0" applyFill="0" applyBorder="0" applyAlignment="0" applyProtection="0"/>
    <xf numFmtId="234" fontId="136" fillId="0" borderId="0" applyFont="0" applyFill="0" applyBorder="0" applyAlignment="0" applyProtection="0"/>
    <xf numFmtId="0" fontId="136" fillId="0" borderId="0">
      <protection locked="0"/>
    </xf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/>
    <xf numFmtId="267" fontId="17" fillId="0" borderId="0" applyFont="0" applyFill="0" applyBorder="0" applyAlignment="0" applyProtection="0"/>
    <xf numFmtId="268" fontId="17" fillId="0" borderId="0" applyFont="0" applyFill="0" applyBorder="0" applyAlignment="0" applyProtection="0"/>
    <xf numFmtId="4" fontId="133" fillId="0" borderId="0">
      <protection locked="0"/>
    </xf>
    <xf numFmtId="269" fontId="136" fillId="0" borderId="0">
      <protection locked="0"/>
    </xf>
    <xf numFmtId="0" fontId="192" fillId="3" borderId="0" applyNumberFormat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39" fillId="0" borderId="36" applyNumberFormat="0" applyFill="0">
      <alignment horizontal="left"/>
    </xf>
    <xf numFmtId="0" fontId="145" fillId="0" borderId="0"/>
    <xf numFmtId="220" fontId="8" fillId="0" borderId="0" applyFont="0" applyFill="0" applyBorder="0" applyAlignment="0" applyProtection="0"/>
    <xf numFmtId="221" fontId="8" fillId="0" borderId="0" applyFont="0" applyFill="0" applyBorder="0" applyAlignment="0" applyProtection="0"/>
    <xf numFmtId="0" fontId="193" fillId="6" borderId="4" applyNumberFormat="0" applyAlignment="0" applyProtection="0"/>
    <xf numFmtId="0" fontId="194" fillId="7" borderId="7" applyNumberFormat="0" applyAlignment="0" applyProtection="0"/>
    <xf numFmtId="0" fontId="133" fillId="0" borderId="39">
      <protection locked="0"/>
    </xf>
    <xf numFmtId="221" fontId="127" fillId="0" borderId="0" applyFont="0" applyFill="0" applyBorder="0" applyAlignment="0" applyProtection="0"/>
    <xf numFmtId="221" fontId="89" fillId="0" borderId="0" applyFont="0" applyFill="0" applyBorder="0" applyAlignment="0" applyProtection="0">
      <alignment vertical="center"/>
    </xf>
    <xf numFmtId="221" fontId="89" fillId="0" borderId="0" applyFont="0" applyFill="0" applyBorder="0" applyAlignment="0" applyProtection="0">
      <alignment vertical="center"/>
    </xf>
    <xf numFmtId="221" fontId="6" fillId="0" borderId="0" applyFont="0" applyFill="0" applyBorder="0" applyAlignment="0" applyProtection="0"/>
    <xf numFmtId="3" fontId="146" fillId="0" borderId="0" applyFont="0" applyFill="0" applyBorder="0" applyAlignment="0" applyProtection="0"/>
    <xf numFmtId="211" fontId="90" fillId="0" borderId="37" applyBorder="0"/>
    <xf numFmtId="44" fontId="89" fillId="0" borderId="0" applyFont="0" applyFill="0" applyBorder="0" applyAlignment="0" applyProtection="0">
      <alignment vertical="center"/>
    </xf>
    <xf numFmtId="220" fontId="63" fillId="0" borderId="0" applyFont="0" applyFill="0" applyBorder="0" applyAlignment="0" applyProtection="0"/>
    <xf numFmtId="211" fontId="147" fillId="0" borderId="37" applyBorder="0">
      <protection locked="0"/>
    </xf>
    <xf numFmtId="270" fontId="8" fillId="0" borderId="0">
      <protection locked="0"/>
    </xf>
    <xf numFmtId="14" fontId="35" fillId="0" borderId="0" applyFill="0" applyBorder="0">
      <alignment horizontal="left"/>
    </xf>
    <xf numFmtId="38" fontId="48" fillId="0" borderId="0" applyFont="0" applyFill="0" applyBorder="0" applyAlignment="0" applyProtection="0"/>
    <xf numFmtId="40" fontId="48" fillId="0" borderId="0" applyFont="0" applyFill="0" applyBorder="0" applyAlignment="0" applyProtection="0"/>
    <xf numFmtId="211" fontId="88" fillId="0" borderId="37"/>
    <xf numFmtId="0" fontId="148" fillId="0" borderId="0" applyNumberFormat="0" applyFill="0" applyBorder="0" applyAlignment="0" applyProtection="0"/>
    <xf numFmtId="0" fontId="136" fillId="0" borderId="0">
      <protection locked="0"/>
    </xf>
    <xf numFmtId="271" fontId="136" fillId="0" borderId="0">
      <protection locked="0"/>
    </xf>
    <xf numFmtId="0" fontId="195" fillId="0" borderId="0" applyNumberFormat="0" applyFill="0" applyBorder="0" applyAlignment="0" applyProtection="0"/>
    <xf numFmtId="272" fontId="9" fillId="0" borderId="0" applyFill="0" applyBorder="0">
      <alignment horizontal="right" vertical="top"/>
    </xf>
    <xf numFmtId="0" fontId="9" fillId="0" borderId="0" applyFill="0" applyBorder="0">
      <alignment horizontal="left" vertical="top"/>
    </xf>
    <xf numFmtId="273" fontId="17" fillId="0" borderId="0"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22" fontId="149" fillId="0" borderId="0" applyFont="0" applyFill="0" applyBorder="0" applyAlignment="0" applyProtection="0"/>
    <xf numFmtId="14" fontId="150" fillId="0" borderId="0" applyFont="0" applyFill="0" applyBorder="0" applyAlignment="0" applyProtection="0"/>
    <xf numFmtId="17" fontId="150" fillId="0" borderId="0" applyFont="0" applyFill="0" applyBorder="0" applyAlignment="0" applyProtection="0"/>
    <xf numFmtId="274" fontId="150" fillId="0" borderId="0" applyFont="0" applyFill="0" applyBorder="0" applyAlignment="0" applyProtection="0"/>
    <xf numFmtId="275" fontId="150" fillId="0" borderId="0" applyFont="0" applyFill="0" applyBorder="0" applyAlignment="0" applyProtection="0"/>
    <xf numFmtId="3" fontId="151" fillId="0" borderId="0" applyFont="0" applyFill="0" applyBorder="0" applyAlignment="0" applyProtection="0"/>
    <xf numFmtId="4" fontId="151" fillId="0" borderId="0" applyFont="0" applyFill="0" applyBorder="0" applyAlignment="0" applyProtection="0"/>
    <xf numFmtId="20" fontId="150" fillId="0" borderId="0" applyFont="0" applyFill="0" applyBorder="0" applyAlignment="0" applyProtection="0"/>
    <xf numFmtId="0" fontId="196" fillId="2" borderId="0" applyNumberFormat="0" applyBorder="0" applyAlignment="0" applyProtection="0"/>
    <xf numFmtId="0" fontId="197" fillId="0" borderId="1" applyNumberFormat="0" applyFill="0" applyAlignment="0" applyProtection="0"/>
    <xf numFmtId="0" fontId="198" fillId="0" borderId="2" applyNumberFormat="0" applyFill="0" applyAlignment="0" applyProtection="0"/>
    <xf numFmtId="0" fontId="199" fillId="0" borderId="3" applyNumberFormat="0" applyFill="0" applyAlignment="0" applyProtection="0"/>
    <xf numFmtId="0" fontId="199" fillId="0" borderId="0" applyNumberFormat="0" applyFill="0" applyBorder="0" applyAlignment="0" applyProtection="0"/>
    <xf numFmtId="276" fontId="17" fillId="0" borderId="0">
      <protection locked="0"/>
    </xf>
    <xf numFmtId="276" fontId="17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" fontId="8" fillId="54" borderId="37" applyNumberFormat="0" applyFill="0" applyBorder="0" applyAlignment="0" applyProtection="0"/>
    <xf numFmtId="0" fontId="200" fillId="5" borderId="4" applyNumberFormat="0" applyAlignment="0" applyProtection="0"/>
    <xf numFmtId="0" fontId="35" fillId="0" borderId="37" applyNumberFormat="0" applyFill="0" applyBorder="0">
      <alignment horizontal="center" vertical="top" wrapText="1"/>
    </xf>
    <xf numFmtId="0" fontId="35" fillId="0" borderId="37" applyNumberFormat="0" applyFill="0" applyBorder="0">
      <alignment horizontal="left" vertical="top"/>
    </xf>
    <xf numFmtId="0" fontId="201" fillId="0" borderId="6" applyNumberFormat="0" applyFill="0" applyAlignment="0" applyProtection="0"/>
    <xf numFmtId="277" fontId="152" fillId="0" borderId="0" applyFont="0" applyFill="0" applyBorder="0" applyAlignment="0" applyProtection="0"/>
    <xf numFmtId="278" fontId="152" fillId="0" borderId="0" applyFont="0" applyFill="0" applyBorder="0" applyAlignment="0" applyProtection="0"/>
    <xf numFmtId="38" fontId="32" fillId="0" borderId="0"/>
    <xf numFmtId="6" fontId="48" fillId="0" borderId="0" applyFont="0" applyFill="0" applyBorder="0" applyAlignment="0" applyProtection="0"/>
    <xf numFmtId="8" fontId="48" fillId="0" borderId="0" applyFont="0" applyFill="0" applyBorder="0" applyAlignment="0" applyProtection="0"/>
    <xf numFmtId="279" fontId="152" fillId="0" borderId="0" applyFont="0" applyFill="0" applyBorder="0" applyAlignment="0" applyProtection="0"/>
    <xf numFmtId="280" fontId="152" fillId="0" borderId="0" applyFont="0" applyFill="0" applyBorder="0" applyAlignment="0" applyProtection="0"/>
    <xf numFmtId="6" fontId="48" fillId="0" borderId="0" applyFont="0" applyFill="0" applyBorder="0" applyAlignment="0" applyProtection="0"/>
    <xf numFmtId="8" fontId="48" fillId="0" borderId="0" applyFont="0" applyFill="0" applyBorder="0" applyAlignment="0" applyProtection="0"/>
    <xf numFmtId="6" fontId="48" fillId="0" borderId="0" applyFont="0" applyFill="0" applyBorder="0" applyAlignment="0" applyProtection="0"/>
    <xf numFmtId="8" fontId="48" fillId="0" borderId="0" applyFont="0" applyFill="0" applyBorder="0" applyAlignment="0" applyProtection="0"/>
    <xf numFmtId="6" fontId="48" fillId="0" borderId="0" applyFont="0" applyFill="0" applyBorder="0" applyAlignment="0" applyProtection="0"/>
    <xf numFmtId="8" fontId="48" fillId="0" borderId="0" applyFont="0" applyFill="0" applyBorder="0" applyAlignment="0" applyProtection="0"/>
    <xf numFmtId="0" fontId="202" fillId="4" borderId="0" applyNumberFormat="0" applyBorder="0" applyAlignment="0" applyProtection="0"/>
    <xf numFmtId="281" fontId="17" fillId="0" borderId="0"/>
    <xf numFmtId="0" fontId="3" fillId="0" borderId="0"/>
    <xf numFmtId="0" fontId="132" fillId="0" borderId="0"/>
    <xf numFmtId="0" fontId="128" fillId="0" borderId="0"/>
    <xf numFmtId="0" fontId="6" fillId="0" borderId="0"/>
    <xf numFmtId="0" fontId="92" fillId="0" borderId="0">
      <alignment vertical="center"/>
    </xf>
    <xf numFmtId="0" fontId="127" fillId="0" borderId="0">
      <alignment vertical="center"/>
    </xf>
    <xf numFmtId="0" fontId="127" fillId="8" borderId="8" applyNumberFormat="0" applyFont="0" applyAlignment="0" applyProtection="0"/>
    <xf numFmtId="0" fontId="8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8" fillId="0" borderId="0" applyFont="0" applyFill="0" applyBorder="0" applyAlignment="0" applyProtection="0"/>
    <xf numFmtId="221" fontId="17" fillId="0" borderId="0" applyFont="0" applyFill="0" applyBorder="0" applyAlignment="0" applyProtection="0"/>
    <xf numFmtId="220" fontId="17" fillId="0" borderId="0" applyFont="0" applyFill="0" applyBorder="0" applyAlignment="0" applyProtection="0"/>
    <xf numFmtId="0" fontId="25" fillId="0" borderId="0"/>
    <xf numFmtId="221" fontId="25" fillId="0" borderId="0" applyFont="0" applyFill="0" applyBorder="0" applyAlignment="0" applyProtection="0"/>
    <xf numFmtId="0" fontId="155" fillId="0" borderId="0" applyNumberFormat="0" applyFill="0" applyBorder="0" applyAlignment="0" applyProtection="0">
      <alignment vertical="top"/>
      <protection locked="0"/>
    </xf>
    <xf numFmtId="0" fontId="203" fillId="6" borderId="5" applyNumberFormat="0" applyAlignment="0" applyProtection="0"/>
    <xf numFmtId="9" fontId="127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8" fillId="0" borderId="40" applyNumberFormat="0" applyBorder="0"/>
    <xf numFmtId="15" fontId="48" fillId="0" borderId="0" applyFont="0" applyFill="0" applyBorder="0" applyAlignment="0" applyProtection="0"/>
    <xf numFmtId="4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48" fillId="64" borderId="0" applyNumberFormat="0" applyFont="0" applyBorder="0" applyAlignment="0" applyProtection="0"/>
    <xf numFmtId="0" fontId="39" fillId="0" borderId="27" applyNumberFormat="0" applyFill="0" applyBorder="0">
      <alignment horizontal="left"/>
    </xf>
    <xf numFmtId="0" fontId="37" fillId="0" borderId="35" applyNumberFormat="0" applyFill="0" applyBorder="0" applyAlignment="0" applyProtection="0"/>
    <xf numFmtId="0" fontId="26" fillId="0" borderId="35" applyNumberFormat="0" applyFill="0" applyBorder="0" applyAlignment="0" applyProtection="0"/>
    <xf numFmtId="0" fontId="156" fillId="0" borderId="35" applyNumberFormat="0" applyFill="0" applyBorder="0" applyAlignment="0" applyProtection="0"/>
    <xf numFmtId="0" fontId="48" fillId="0" borderId="0"/>
    <xf numFmtId="0" fontId="85" fillId="0" borderId="35" applyNumberFormat="0" applyFill="0" applyBorder="0"/>
    <xf numFmtId="0" fontId="8" fillId="0" borderId="0" applyNumberFormat="0" applyFill="0" applyBorder="0" applyAlignment="0">
      <alignment horizontal="left"/>
    </xf>
    <xf numFmtId="0" fontId="8" fillId="0" borderId="0" applyNumberFormat="0" applyFill="0" applyBorder="0">
      <alignment horizontal="left"/>
    </xf>
    <xf numFmtId="0" fontId="17" fillId="0" borderId="0" applyNumberFormat="0" applyFill="0" applyBorder="0">
      <alignment horizontal="left"/>
    </xf>
    <xf numFmtId="0" fontId="48" fillId="0" borderId="0" applyNumberFormat="0" applyFont="0" applyProtection="0"/>
    <xf numFmtId="40" fontId="5" fillId="0" borderId="0"/>
    <xf numFmtId="0" fontId="204" fillId="0" borderId="0" applyNumberFormat="0" applyFill="0" applyBorder="0" applyAlignment="0" applyProtection="0"/>
    <xf numFmtId="0" fontId="205" fillId="0" borderId="9" applyNumberFormat="0" applyFill="0" applyAlignment="0" applyProtection="0"/>
    <xf numFmtId="282" fontId="17" fillId="0" borderId="0" applyFont="0" applyFill="0" applyBorder="0" applyAlignment="0" applyProtection="0"/>
    <xf numFmtId="4" fontId="151" fillId="0" borderId="0" applyFont="0" applyFill="0" applyBorder="0" applyAlignment="0" applyProtection="0"/>
    <xf numFmtId="221" fontId="8" fillId="0" borderId="0"/>
    <xf numFmtId="283" fontId="17" fillId="0" borderId="0" applyFont="0" applyFill="0" applyBorder="0" applyAlignment="0" applyProtection="0"/>
    <xf numFmtId="284" fontId="151" fillId="0" borderId="0" applyFont="0" applyFill="0" applyBorder="0" applyAlignment="0" applyProtection="0"/>
    <xf numFmtId="285" fontId="48" fillId="0" borderId="0" applyFont="0" applyFill="0" applyBorder="0" applyAlignment="0" applyProtection="0"/>
    <xf numFmtId="286" fontId="48" fillId="0" borderId="0" applyFont="0" applyFill="0" applyBorder="0" applyAlignment="0" applyProtection="0"/>
    <xf numFmtId="0" fontId="206" fillId="0" borderId="0" applyNumberFormat="0" applyFill="0" applyBorder="0" applyAlignment="0" applyProtection="0"/>
    <xf numFmtId="0" fontId="128" fillId="0" borderId="0">
      <alignment vertical="center"/>
    </xf>
    <xf numFmtId="0" fontId="92" fillId="0" borderId="0">
      <alignment vertical="center"/>
    </xf>
    <xf numFmtId="0" fontId="129" fillId="0" borderId="0"/>
    <xf numFmtId="0" fontId="128" fillId="0" borderId="0">
      <alignment vertical="center"/>
    </xf>
    <xf numFmtId="0" fontId="128" fillId="0" borderId="0">
      <alignment vertical="center"/>
    </xf>
    <xf numFmtId="0" fontId="8" fillId="0" borderId="0"/>
    <xf numFmtId="0" fontId="17" fillId="0" borderId="0"/>
    <xf numFmtId="0" fontId="158" fillId="0" borderId="0"/>
    <xf numFmtId="0" fontId="17" fillId="0" borderId="0"/>
    <xf numFmtId="0" fontId="190" fillId="0" borderId="0"/>
    <xf numFmtId="0" fontId="16" fillId="0" borderId="0"/>
    <xf numFmtId="0" fontId="16" fillId="0" borderId="0"/>
    <xf numFmtId="0" fontId="8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220" fontId="134" fillId="0" borderId="0"/>
    <xf numFmtId="221" fontId="129" fillId="0" borderId="0" applyFont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288" fontId="17" fillId="0" borderId="0" applyFont="0" applyFill="0" applyBorder="0" applyAlignment="0" applyProtection="0"/>
    <xf numFmtId="221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221" fontId="3" fillId="0" borderId="0" applyFont="0" applyFill="0" applyBorder="0" applyAlignment="0" applyProtection="0"/>
    <xf numFmtId="221" fontId="17" fillId="0" borderId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221" fontId="89" fillId="0" borderId="0" applyFont="0" applyFill="0" applyBorder="0" applyAlignment="0" applyProtection="0">
      <alignment vertical="center"/>
    </xf>
    <xf numFmtId="289" fontId="159" fillId="59" borderId="37" applyFont="0" applyFill="0" applyBorder="0" applyAlignment="0">
      <alignment horizontal="center"/>
    </xf>
    <xf numFmtId="0" fontId="160" fillId="0" borderId="0" applyNumberFormat="0" applyFill="0" applyBorder="0" applyAlignment="0" applyProtection="0">
      <alignment vertical="top"/>
      <protection locked="0"/>
    </xf>
    <xf numFmtId="0" fontId="186" fillId="35" borderId="0" applyNumberFormat="0" applyBorder="0" applyAlignment="0" applyProtection="0">
      <alignment vertical="center"/>
    </xf>
    <xf numFmtId="0" fontId="186" fillId="35" borderId="0" applyNumberFormat="0" applyBorder="0" applyAlignment="0" applyProtection="0">
      <alignment vertical="center"/>
    </xf>
    <xf numFmtId="0" fontId="161" fillId="35" borderId="0" applyNumberFormat="0" applyBorder="0" applyAlignment="0" applyProtection="0">
      <alignment vertical="center"/>
    </xf>
    <xf numFmtId="0" fontId="161" fillId="35" borderId="0" applyNumberFormat="0" applyBorder="0" applyAlignment="0" applyProtection="0">
      <alignment vertical="center"/>
    </xf>
    <xf numFmtId="0" fontId="188" fillId="35" borderId="0" applyNumberFormat="0" applyBorder="0" applyAlignment="0" applyProtection="0">
      <alignment vertical="center"/>
    </xf>
    <xf numFmtId="9" fontId="127" fillId="0" borderId="0" applyFont="0" applyFill="0" applyBorder="0" applyAlignment="0" applyProtection="0"/>
    <xf numFmtId="9" fontId="16" fillId="0" borderId="0" applyFont="0" applyFill="0" applyBorder="0" applyAlignment="0" applyProtection="0">
      <alignment vertical="top"/>
    </xf>
    <xf numFmtId="9" fontId="158" fillId="0" borderId="0" applyFill="0" applyBorder="0" applyAlignment="0" applyProtection="0"/>
    <xf numFmtId="9" fontId="3" fillId="0" borderId="0" applyFont="0" applyFill="0" applyBorder="0" applyAlignment="0" applyProtection="0"/>
    <xf numFmtId="9" fontId="127" fillId="0" borderId="0" applyFont="0" applyFill="0" applyBorder="0" applyAlignment="0" applyProtection="0">
      <alignment vertical="center"/>
    </xf>
    <xf numFmtId="0" fontId="162" fillId="58" borderId="22" applyNumberFormat="0" applyFont="0" applyAlignment="0" applyProtection="0">
      <alignment vertical="center"/>
    </xf>
    <xf numFmtId="0" fontId="163" fillId="34" borderId="0" applyNumberFormat="0" applyBorder="0" applyAlignment="0" applyProtection="0">
      <alignment vertical="center"/>
    </xf>
    <xf numFmtId="0" fontId="163" fillId="34" borderId="0" applyNumberFormat="0" applyBorder="0" applyAlignment="0" applyProtection="0">
      <alignment vertical="center"/>
    </xf>
    <xf numFmtId="0" fontId="164" fillId="0" borderId="0">
      <protection locked="0"/>
    </xf>
    <xf numFmtId="271" fontId="164" fillId="0" borderId="0">
      <protection locked="0"/>
    </xf>
    <xf numFmtId="0" fontId="6" fillId="0" borderId="0"/>
    <xf numFmtId="42" fontId="25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65" fillId="57" borderId="0" applyNumberFormat="0" applyBorder="0" applyAlignment="0" applyProtection="0">
      <alignment vertical="center"/>
    </xf>
    <xf numFmtId="0" fontId="133" fillId="0" borderId="0">
      <protection locked="0"/>
    </xf>
    <xf numFmtId="233" fontId="164" fillId="0" borderId="0" applyFont="0" applyFill="0" applyBorder="0" applyAlignment="0" applyProtection="0"/>
    <xf numFmtId="234" fontId="16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/>
    <xf numFmtId="0" fontId="166" fillId="0" borderId="0" applyNumberFormat="0" applyFill="0" applyBorder="0" applyAlignment="0" applyProtection="0">
      <alignment vertical="top"/>
      <protection locked="0"/>
    </xf>
    <xf numFmtId="0" fontId="133" fillId="0" borderId="0">
      <protection locked="0"/>
    </xf>
    <xf numFmtId="0" fontId="164" fillId="0" borderId="0">
      <protection locked="0"/>
    </xf>
    <xf numFmtId="0" fontId="167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center"/>
    </xf>
    <xf numFmtId="9" fontId="171" fillId="0" borderId="0" applyFont="0" applyFill="0" applyBorder="0" applyAlignment="0" applyProtection="0"/>
    <xf numFmtId="0" fontId="172" fillId="0" borderId="0" applyNumberFormat="0" applyFill="0" applyBorder="0" applyAlignment="0" applyProtection="0">
      <alignment vertical="top"/>
      <protection locked="0"/>
    </xf>
    <xf numFmtId="290" fontId="8" fillId="0" borderId="0" applyFont="0" applyFill="0" applyBorder="0" applyAlignment="0" applyProtection="0"/>
    <xf numFmtId="291" fontId="8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3" fillId="0" borderId="41" applyNumberFormat="0" applyFill="0" applyProtection="0">
      <alignment vertical="center"/>
    </xf>
    <xf numFmtId="0" fontId="130" fillId="0" borderId="18" applyNumberFormat="0" applyFill="0" applyProtection="0">
      <alignment vertical="center"/>
    </xf>
    <xf numFmtId="0" fontId="174" fillId="0" borderId="19" applyNumberFormat="0" applyFill="0" applyProtection="0">
      <alignment vertical="center"/>
    </xf>
    <xf numFmtId="0" fontId="131" fillId="0" borderId="19" applyNumberFormat="0" applyFill="0" applyProtection="0">
      <alignment vertical="center"/>
    </xf>
    <xf numFmtId="4" fontId="133" fillId="0" borderId="0">
      <protection locked="0"/>
    </xf>
    <xf numFmtId="269" fontId="164" fillId="0" borderId="0">
      <protection locked="0"/>
    </xf>
    <xf numFmtId="267" fontId="17" fillId="0" borderId="0">
      <alignment vertical="center"/>
    </xf>
    <xf numFmtId="267" fontId="17" fillId="0" borderId="0" applyFont="0" applyFill="0" applyBorder="0" applyAlignment="0" applyProtection="0"/>
    <xf numFmtId="268" fontId="17" fillId="0" borderId="0" applyFont="0" applyFill="0" applyBorder="0" applyAlignment="0" applyProtection="0"/>
    <xf numFmtId="0" fontId="175" fillId="0" borderId="0" applyNumberFormat="0" applyFill="0" applyBorder="0" applyAlignment="0" applyProtection="0">
      <alignment vertical="top"/>
      <protection locked="0"/>
    </xf>
    <xf numFmtId="0" fontId="187" fillId="34" borderId="0" applyNumberFormat="0" applyBorder="0" applyAlignment="0" applyProtection="0">
      <alignment vertical="center"/>
    </xf>
    <xf numFmtId="0" fontId="187" fillId="34" borderId="0" applyNumberFormat="0" applyBorder="0" applyAlignment="0" applyProtection="0">
      <alignment vertical="center"/>
    </xf>
    <xf numFmtId="0" fontId="189" fillId="34" borderId="0" applyNumberFormat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top"/>
      <protection locked="0"/>
    </xf>
    <xf numFmtId="0" fontId="141" fillId="47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9" borderId="0" applyNumberFormat="0" applyBorder="0" applyAlignment="0" applyProtection="0">
      <alignment vertical="center"/>
    </xf>
    <xf numFmtId="0" fontId="141" fillId="44" borderId="0" applyNumberFormat="0" applyBorder="0" applyAlignment="0" applyProtection="0">
      <alignment vertical="center"/>
    </xf>
    <xf numFmtId="0" fontId="141" fillId="45" borderId="0" applyNumberFormat="0" applyBorder="0" applyAlignment="0" applyProtection="0">
      <alignment vertical="center"/>
    </xf>
    <xf numFmtId="0" fontId="141" fillId="50" borderId="0" applyNumberFormat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0" borderId="18" applyNumberFormat="0" applyFill="0" applyAlignment="0" applyProtection="0">
      <alignment vertical="center"/>
    </xf>
    <xf numFmtId="0" fontId="179" fillId="0" borderId="19" applyNumberFormat="0" applyFill="0" applyAlignment="0" applyProtection="0">
      <alignment vertical="center"/>
    </xf>
    <xf numFmtId="0" fontId="180" fillId="0" borderId="20" applyNumberFormat="0" applyFill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81" fillId="52" borderId="12" applyNumberForma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137" fillId="0" borderId="0">
      <protection locked="0"/>
    </xf>
    <xf numFmtId="0" fontId="137" fillId="0" borderId="0">
      <protection locked="0"/>
    </xf>
    <xf numFmtId="266" fontId="164" fillId="0" borderId="0">
      <protection locked="0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0" fontId="184" fillId="0" borderId="0"/>
    <xf numFmtId="0" fontId="133" fillId="0" borderId="39">
      <protection locked="0"/>
    </xf>
    <xf numFmtId="0" fontId="185" fillId="0" borderId="21" applyNumberFormat="0" applyFill="0" applyAlignment="0" applyProtection="0">
      <alignment vertical="center"/>
    </xf>
    <xf numFmtId="0" fontId="17" fillId="0" borderId="0"/>
    <xf numFmtId="0" fontId="25" fillId="0" borderId="0"/>
    <xf numFmtId="0" fontId="157" fillId="0" borderId="0" applyFont="0" applyFill="0" applyBorder="0" applyAlignment="0" applyProtection="0"/>
    <xf numFmtId="287" fontId="8" fillId="0" borderId="0" applyFont="0" applyFill="0" applyBorder="0" applyAlignment="0" applyProtection="0"/>
    <xf numFmtId="220" fontId="25" fillId="0" borderId="0" applyFont="0" applyFill="0" applyBorder="0" applyAlignment="0" applyProtection="0"/>
    <xf numFmtId="221" fontId="25" fillId="0" borderId="0" applyFont="0" applyFill="0" applyBorder="0" applyAlignment="0" applyProtection="0"/>
    <xf numFmtId="0" fontId="17" fillId="0" borderId="0"/>
    <xf numFmtId="37" fontId="63" fillId="0" borderId="0"/>
    <xf numFmtId="220" fontId="8" fillId="0" borderId="0" applyFont="0" applyFill="0" applyBorder="0" applyAlignment="0" applyProtection="0"/>
    <xf numFmtId="221" fontId="8" fillId="0" borderId="0" applyFont="0" applyFill="0" applyBorder="0" applyAlignment="0" applyProtection="0"/>
    <xf numFmtId="220" fontId="8" fillId="0" borderId="0" applyFont="0" applyFill="0" applyBorder="0" applyAlignment="0" applyProtection="0"/>
    <xf numFmtId="221" fontId="8" fillId="0" borderId="0" applyFont="0" applyFill="0" applyBorder="0" applyAlignment="0" applyProtection="0"/>
    <xf numFmtId="220" fontId="8" fillId="0" borderId="0" applyFont="0" applyFill="0" applyBorder="0" applyAlignment="0" applyProtection="0"/>
    <xf numFmtId="221" fontId="8" fillId="0" borderId="0" applyFont="0" applyFill="0" applyBorder="0" applyAlignment="0" applyProtection="0"/>
    <xf numFmtId="221" fontId="127" fillId="0" borderId="0" applyFont="0" applyFill="0" applyBorder="0" applyAlignment="0" applyProtection="0"/>
    <xf numFmtId="221" fontId="127" fillId="0" borderId="0" applyFont="0" applyFill="0" applyBorder="0" applyAlignment="0" applyProtection="0"/>
    <xf numFmtId="0" fontId="207" fillId="0" borderId="0">
      <alignment vertical="center"/>
    </xf>
    <xf numFmtId="221" fontId="207" fillId="0" borderId="0" applyFon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260" fontId="97" fillId="0" borderId="0">
      <alignment vertical="center"/>
    </xf>
    <xf numFmtId="0" fontId="27" fillId="0" borderId="13" applyNumberFormat="0" applyFill="0" applyProtection="0">
      <alignment horizontal="center"/>
    </xf>
    <xf numFmtId="177" fontId="3" fillId="0" borderId="0" applyFont="0" applyFill="0" applyBorder="0" applyAlignment="0" applyProtection="0">
      <alignment vertical="center"/>
    </xf>
    <xf numFmtId="5" fontId="23" fillId="0" borderId="0" applyFont="0" applyFill="0" applyBorder="0" applyAlignment="0" applyProtection="0"/>
    <xf numFmtId="7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38" fillId="0" borderId="38">
      <alignment horizontal="left" vertical="center"/>
    </xf>
    <xf numFmtId="14" fontId="39" fillId="55" borderId="17">
      <alignment horizontal="center" vertical="center" wrapText="1"/>
    </xf>
    <xf numFmtId="0" fontId="40" fillId="0" borderId="17">
      <alignment horizontal="center"/>
    </xf>
    <xf numFmtId="0" fontId="42" fillId="0" borderId="17"/>
    <xf numFmtId="0" fontId="49" fillId="0" borderId="17">
      <alignment horizontal="center"/>
    </xf>
    <xf numFmtId="0" fontId="50" fillId="1" borderId="38" applyNumberFormat="0" applyFont="0" applyAlignment="0">
      <alignment horizontal="center"/>
    </xf>
    <xf numFmtId="177" fontId="17" fillId="0" borderId="37" applyNumberFormat="0"/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0" fontId="83" fillId="0" borderId="21" applyNumberFormat="0" applyFill="0" applyAlignment="0" applyProtection="0">
      <alignment vertical="center"/>
    </xf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177" fontId="17" fillId="0" borderId="37" applyNumberFormat="0"/>
    <xf numFmtId="0" fontId="3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5" fontId="23" fillId="0" borderId="0" applyFont="0" applyFill="0" applyBorder="0" applyAlignment="0" applyProtection="0"/>
    <xf numFmtId="7" fontId="23" fillId="0" borderId="0" applyFont="0" applyFill="0" applyBorder="0" applyAlignment="0" applyProtection="0"/>
    <xf numFmtId="0" fontId="55" fillId="0" borderId="37">
      <alignment horizontal="center"/>
    </xf>
    <xf numFmtId="0" fontId="100" fillId="0" borderId="0"/>
    <xf numFmtId="0" fontId="3" fillId="0" borderId="0">
      <alignment vertical="center"/>
    </xf>
    <xf numFmtId="0" fontId="116" fillId="51" borderId="23" applyNumberFormat="0" applyAlignment="0" applyProtection="0">
      <alignment vertical="center"/>
    </xf>
    <xf numFmtId="177" fontId="17" fillId="0" borderId="37" applyNumberFormat="0"/>
    <xf numFmtId="0" fontId="124" fillId="0" borderId="0">
      <alignment vertical="center"/>
    </xf>
    <xf numFmtId="0" fontId="17" fillId="0" borderId="0"/>
    <xf numFmtId="9" fontId="17" fillId="0" borderId="0" applyFont="0" applyFill="0" applyBorder="0" applyAlignment="0" applyProtection="0"/>
    <xf numFmtId="0" fontId="120" fillId="0" borderId="0">
      <alignment vertical="center"/>
    </xf>
    <xf numFmtId="221" fontId="12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1" fillId="0" borderId="0"/>
    <xf numFmtId="22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221" fontId="3" fillId="0" borderId="0" applyFont="0" applyFill="0" applyBorder="0" applyAlignment="0" applyProtection="0">
      <alignment vertical="center"/>
    </xf>
    <xf numFmtId="221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1" fillId="0" borderId="0"/>
    <xf numFmtId="261" fontId="122" fillId="0" borderId="0" applyNumberFormat="0" applyFill="0" applyBorder="0" applyAlignment="0" applyProtection="0">
      <alignment vertical="top"/>
      <protection locked="0"/>
    </xf>
    <xf numFmtId="0" fontId="55" fillId="0" borderId="37">
      <alignment horizontal="center"/>
    </xf>
    <xf numFmtId="0" fontId="49" fillId="0" borderId="17">
      <alignment horizontal="center"/>
    </xf>
    <xf numFmtId="0" fontId="35" fillId="54" borderId="37"/>
    <xf numFmtId="0" fontId="42" fillId="0" borderId="17"/>
    <xf numFmtId="10" fontId="35" fillId="56" borderId="37" applyNumberFormat="0" applyBorder="0" applyAlignment="0" applyProtection="0"/>
    <xf numFmtId="0" fontId="40" fillId="0" borderId="17">
      <alignment horizontal="center"/>
    </xf>
    <xf numFmtId="14" fontId="39" fillId="55" borderId="17">
      <alignment horizontal="center" vertical="center" wrapText="1"/>
    </xf>
    <xf numFmtId="0" fontId="35" fillId="53" borderId="37"/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1" fillId="0" borderId="0"/>
    <xf numFmtId="0" fontId="98" fillId="0" borderId="0">
      <alignment vertical="center"/>
    </xf>
    <xf numFmtId="0" fontId="126" fillId="0" borderId="0">
      <alignment vertical="center"/>
    </xf>
    <xf numFmtId="177" fontId="17" fillId="0" borderId="37" applyNumberFormat="0"/>
    <xf numFmtId="0" fontId="17" fillId="0" borderId="0"/>
    <xf numFmtId="0" fontId="3" fillId="0" borderId="0">
      <alignment vertical="center"/>
    </xf>
    <xf numFmtId="0" fontId="100" fillId="58" borderId="22" applyNumberFormat="0" applyFon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177" fontId="17" fillId="0" borderId="37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211" fontId="90" fillId="0" borderId="37" applyBorder="0"/>
    <xf numFmtId="211" fontId="88" fillId="0" borderId="37"/>
    <xf numFmtId="3" fontId="8" fillId="54" borderId="37" applyNumberFormat="0" applyFill="0" applyBorder="0" applyAlignment="0" applyProtection="0"/>
    <xf numFmtId="0" fontId="35" fillId="0" borderId="37" applyNumberFormat="0" applyFill="0" applyBorder="0">
      <alignment horizontal="center" vertical="top" wrapText="1"/>
    </xf>
    <xf numFmtId="0" fontId="35" fillId="0" borderId="37" applyNumberFormat="0" applyFill="0" applyBorder="0">
      <alignment horizontal="left" vertical="top"/>
    </xf>
    <xf numFmtId="0" fontId="37" fillId="0" borderId="13" applyNumberFormat="0" applyFill="0" applyBorder="0" applyAlignment="0" applyProtection="0"/>
    <xf numFmtId="0" fontId="26" fillId="0" borderId="13" applyNumberFormat="0" applyFill="0" applyBorder="0" applyAlignment="0" applyProtection="0"/>
    <xf numFmtId="0" fontId="156" fillId="0" borderId="13" applyNumberFormat="0" applyFill="0" applyBorder="0" applyAlignment="0" applyProtection="0"/>
    <xf numFmtId="0" fontId="85" fillId="0" borderId="13" applyNumberFormat="0" applyFill="0" applyBorder="0"/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289" fontId="159" fillId="59" borderId="37" applyFont="0" applyFill="0" applyBorder="0" applyAlignment="0">
      <alignment horizontal="center"/>
    </xf>
    <xf numFmtId="0" fontId="162" fillId="58" borderId="22" applyNumberFormat="0" applyFon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5" fontId="23" fillId="0" borderId="0" applyFont="0" applyFill="0" applyBorder="0" applyAlignment="0" applyProtection="0"/>
    <xf numFmtId="7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177" fontId="17" fillId="0" borderId="0" applyFont="0" applyFill="0" applyBorder="0" applyAlignment="0" applyProtection="0"/>
    <xf numFmtId="177" fontId="17" fillId="0" borderId="37" applyNumberFormat="0"/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0" fontId="45" fillId="58" borderId="22" applyNumberFormat="0" applyFon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5" fontId="23" fillId="0" borderId="0" applyFont="0" applyFill="0" applyBorder="0" applyAlignment="0" applyProtection="0"/>
    <xf numFmtId="7" fontId="23" fillId="0" borderId="0" applyFont="0" applyFill="0" applyBorder="0" applyAlignment="0" applyProtection="0"/>
    <xf numFmtId="177" fontId="17" fillId="0" borderId="37" applyNumberFormat="0"/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0" fontId="35" fillId="54" borderId="37"/>
    <xf numFmtId="10" fontId="35" fillId="56" borderId="37" applyNumberFormat="0" applyBorder="0" applyAlignment="0" applyProtection="0"/>
    <xf numFmtId="0" fontId="35" fillId="53" borderId="37"/>
    <xf numFmtId="0" fontId="82" fillId="51" borderId="23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0" fontId="180" fillId="0" borderId="20" applyNumberFormat="0" applyFill="0" applyAlignment="0" applyProtection="0">
      <alignment vertical="center"/>
    </xf>
    <xf numFmtId="0" fontId="185" fillId="0" borderId="21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83" fillId="0" borderId="21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17" fillId="0" borderId="21" applyNumberFormat="0" applyFill="0" applyAlignment="0" applyProtection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177" fontId="1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37" fontId="11" fillId="0" borderId="37" applyFont="0" applyAlignment="0">
      <alignment horizontal="right" vertical="center"/>
    </xf>
    <xf numFmtId="0" fontId="81" fillId="38" borderId="11" applyNumberFormat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17" fillId="0" borderId="37" applyNumberFormat="0"/>
    <xf numFmtId="0" fontId="169" fillId="38" borderId="11" applyNumberFormat="0" applyAlignment="0" applyProtection="0">
      <alignment vertical="center"/>
    </xf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0" fontId="35" fillId="54" borderId="37"/>
    <xf numFmtId="0" fontId="100" fillId="58" borderId="22" applyNumberFormat="0" applyFont="0" applyAlignment="0" applyProtection="0">
      <alignment vertical="center"/>
    </xf>
    <xf numFmtId="0" fontId="35" fillId="53" borderId="37"/>
    <xf numFmtId="177" fontId="17" fillId="0" borderId="37" applyNumberFormat="0"/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0" fontId="35" fillId="54" borderId="37"/>
    <xf numFmtId="0" fontId="38" fillId="0" borderId="16">
      <alignment horizontal="left" vertical="center"/>
    </xf>
    <xf numFmtId="0" fontId="81" fillId="38" borderId="11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180" fillId="0" borderId="20" applyNumberFormat="0" applyFill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35" fillId="53" borderId="37"/>
    <xf numFmtId="10" fontId="35" fillId="56" borderId="37" applyNumberFormat="0" applyBorder="0" applyAlignment="0" applyProtection="0"/>
    <xf numFmtId="0" fontId="55" fillId="0" borderId="37">
      <alignment horizontal="center"/>
    </xf>
    <xf numFmtId="0" fontId="35" fillId="0" borderId="37" applyNumberFormat="0" applyFill="0" applyBorder="0">
      <alignment horizontal="left" vertical="top"/>
    </xf>
    <xf numFmtId="177" fontId="17" fillId="0" borderId="37" applyNumberFormat="0"/>
    <xf numFmtId="3" fontId="11" fillId="0" borderId="37" applyFont="0" applyAlignment="0">
      <alignment horizontal="right" vertical="center"/>
    </xf>
    <xf numFmtId="211" fontId="88" fillId="0" borderId="37"/>
    <xf numFmtId="0" fontId="116" fillId="51" borderId="23" applyNumberFormat="0" applyAlignment="0" applyProtection="0">
      <alignment vertical="center"/>
    </xf>
    <xf numFmtId="0" fontId="50" fillId="1" borderId="16" applyNumberFormat="0" applyFont="0" applyAlignment="0">
      <alignment horizontal="center"/>
    </xf>
    <xf numFmtId="0" fontId="100" fillId="58" borderId="22" applyNumberFormat="0" applyFont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55" fillId="0" borderId="37">
      <alignment horizontal="center"/>
    </xf>
    <xf numFmtId="0" fontId="80" fillId="51" borderId="11" applyNumberFormat="0" applyAlignment="0" applyProtection="0">
      <alignment vertical="center"/>
    </xf>
    <xf numFmtId="37" fontId="11" fillId="0" borderId="37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82" fillId="51" borderId="23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5" fillId="0" borderId="37" applyNumberFormat="0" applyFill="0" applyBorder="0">
      <alignment horizontal="center" vertical="top" wrapText="1"/>
    </xf>
    <xf numFmtId="0" fontId="45" fillId="58" borderId="22" applyNumberFormat="0" applyFont="0" applyAlignment="0" applyProtection="0">
      <alignment vertical="center"/>
    </xf>
    <xf numFmtId="37" fontId="11" fillId="0" borderId="37" applyFont="0" applyAlignment="0">
      <alignment horizontal="right"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116" fillId="51" borderId="23" applyNumberFormat="0" applyAlignment="0" applyProtection="0">
      <alignment vertical="center"/>
    </xf>
    <xf numFmtId="0" fontId="55" fillId="0" borderId="37">
      <alignment horizontal="center"/>
    </xf>
    <xf numFmtId="0" fontId="35" fillId="54" borderId="37"/>
    <xf numFmtId="0" fontId="81" fillId="38" borderId="11" applyNumberFormat="0" applyAlignment="0" applyProtection="0">
      <alignment vertical="center"/>
    </xf>
    <xf numFmtId="0" fontId="35" fillId="0" borderId="37" applyNumberFormat="0" applyFill="0" applyBorder="0">
      <alignment horizontal="center" vertical="top" wrapText="1"/>
    </xf>
    <xf numFmtId="0" fontId="55" fillId="0" borderId="37">
      <alignment horizontal="center"/>
    </xf>
    <xf numFmtId="0" fontId="55" fillId="0" borderId="37">
      <alignment horizontal="center"/>
    </xf>
    <xf numFmtId="0" fontId="38" fillId="0" borderId="38">
      <alignment horizontal="left" vertical="center"/>
    </xf>
    <xf numFmtId="37" fontId="11" fillId="0" borderId="37" applyFont="0" applyAlignment="0">
      <alignment horizontal="right" vertical="center"/>
    </xf>
    <xf numFmtId="10" fontId="35" fillId="56" borderId="37" applyNumberFormat="0" applyBorder="0" applyAlignment="0" applyProtection="0"/>
    <xf numFmtId="177" fontId="17" fillId="0" borderId="37" applyNumberFormat="0"/>
    <xf numFmtId="0" fontId="116" fillId="51" borderId="23" applyNumberFormat="0" applyAlignment="0" applyProtection="0">
      <alignment vertical="center"/>
    </xf>
    <xf numFmtId="0" fontId="115" fillId="38" borderId="11" applyNumberFormat="0" applyAlignment="0" applyProtection="0">
      <alignment vertical="center"/>
    </xf>
    <xf numFmtId="0" fontId="55" fillId="0" borderId="37">
      <alignment horizontal="center"/>
    </xf>
    <xf numFmtId="0" fontId="55" fillId="0" borderId="37">
      <alignment horizontal="center"/>
    </xf>
    <xf numFmtId="0" fontId="170" fillId="51" borderId="23" applyNumberForma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35" fillId="53" borderId="37"/>
    <xf numFmtId="0" fontId="79" fillId="0" borderId="26" applyNumberFormat="0" applyFill="0" applyAlignment="0" applyProtection="0">
      <alignment vertical="center"/>
    </xf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38" fillId="0" borderId="16">
      <alignment horizontal="left" vertical="center"/>
    </xf>
    <xf numFmtId="177" fontId="17" fillId="0" borderId="0" applyFont="0" applyFill="0" applyBorder="0" applyAlignment="0" applyProtection="0"/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10" fontId="35" fillId="56" borderId="37" applyNumberFormat="0" applyBorder="0" applyAlignment="0" applyProtection="0"/>
    <xf numFmtId="0" fontId="77" fillId="0" borderId="20" applyNumberFormat="0" applyFill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114" fillId="51" borderId="11" applyNumberFormat="0" applyAlignment="0" applyProtection="0">
      <alignment vertical="center"/>
    </xf>
    <xf numFmtId="0" fontId="162" fillId="58" borderId="22" applyNumberFormat="0" applyFon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37" fontId="11" fillId="0" borderId="37" applyFont="0" applyAlignment="0">
      <alignment horizontal="right" vertical="center"/>
    </xf>
    <xf numFmtId="0" fontId="55" fillId="0" borderId="37">
      <alignment horizontal="center"/>
    </xf>
    <xf numFmtId="0" fontId="79" fillId="0" borderId="26" applyNumberFormat="0" applyFill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3" fontId="11" fillId="0" borderId="37" applyFont="0" applyAlignment="0">
      <alignment horizontal="right" vertical="center"/>
    </xf>
    <xf numFmtId="0" fontId="35" fillId="54" borderId="37"/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177" fontId="3" fillId="0" borderId="0" applyFont="0" applyFill="0" applyBorder="0" applyAlignment="0" applyProtection="0">
      <alignment vertical="center"/>
    </xf>
    <xf numFmtId="10" fontId="35" fillId="56" borderId="37" applyNumberFormat="0" applyBorder="0" applyAlignment="0" applyProtection="0"/>
    <xf numFmtId="0" fontId="116" fillId="51" borderId="23" applyNumberFormat="0" applyAlignment="0" applyProtection="0">
      <alignment vertical="center"/>
    </xf>
    <xf numFmtId="211" fontId="90" fillId="0" borderId="37" applyBorder="0"/>
    <xf numFmtId="0" fontId="55" fillId="0" borderId="37">
      <alignment horizontal="center"/>
    </xf>
    <xf numFmtId="3" fontId="11" fillId="0" borderId="37" applyFont="0" applyAlignment="0">
      <alignment horizontal="right" vertical="center"/>
    </xf>
    <xf numFmtId="0" fontId="81" fillId="38" borderId="11" applyNumberFormat="0" applyAlignment="0" applyProtection="0">
      <alignment vertical="center"/>
    </xf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177" fontId="3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3" fontId="11" fillId="0" borderId="37" applyFont="0" applyAlignment="0">
      <alignment horizontal="right" vertical="center"/>
    </xf>
    <xf numFmtId="289" fontId="159" fillId="59" borderId="37" applyFont="0" applyFill="0" applyBorder="0" applyAlignment="0">
      <alignment horizontal="center"/>
    </xf>
    <xf numFmtId="0" fontId="38" fillId="0" borderId="16">
      <alignment horizontal="left" vertical="center"/>
    </xf>
    <xf numFmtId="0" fontId="81" fillId="38" borderId="11" applyNumberFormat="0" applyAlignment="0" applyProtection="0">
      <alignment vertical="center"/>
    </xf>
    <xf numFmtId="0" fontId="115" fillId="38" borderId="11" applyNumberForma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0" fontId="169" fillId="38" borderId="11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3" fillId="51" borderId="11" applyNumberFormat="0" applyAlignment="0" applyProtection="0">
      <alignment vertical="center"/>
    </xf>
    <xf numFmtId="177" fontId="8" fillId="0" borderId="0" applyNumberFormat="0" applyFill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55" fillId="0" borderId="37">
      <alignment horizont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177" fontId="17" fillId="0" borderId="0" applyFont="0" applyFill="0" applyBorder="0" applyAlignment="0" applyProtection="0"/>
    <xf numFmtId="0" fontId="79" fillId="0" borderId="26" applyNumberFormat="0" applyFill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00" fillId="58" borderId="22" applyNumberFormat="0" applyFont="0" applyAlignment="0" applyProtection="0">
      <alignment vertical="center"/>
    </xf>
    <xf numFmtId="10" fontId="35" fillId="56" borderId="37" applyNumberFormat="0" applyBorder="0" applyAlignment="0" applyProtection="0"/>
    <xf numFmtId="177" fontId="3" fillId="0" borderId="0" applyFont="0" applyFill="0" applyBorder="0" applyAlignment="0" applyProtection="0">
      <alignment vertical="center"/>
    </xf>
    <xf numFmtId="3" fontId="8" fillId="54" borderId="37" applyNumberFormat="0" applyFill="0" applyBorder="0" applyAlignment="0" applyProtection="0"/>
    <xf numFmtId="0" fontId="50" fillId="1" borderId="16" applyNumberFormat="0" applyFont="0" applyAlignment="0">
      <alignment horizontal="center"/>
    </xf>
    <xf numFmtId="0" fontId="115" fillId="38" borderId="11" applyNumberForma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35" fillId="53" borderId="37"/>
    <xf numFmtId="0" fontId="113" fillId="0" borderId="26" applyNumberFormat="0" applyFill="0" applyAlignment="0" applyProtection="0">
      <alignment vertical="center"/>
    </xf>
    <xf numFmtId="0" fontId="114" fillId="51" borderId="11" applyNumberFormat="0" applyAlignment="0" applyProtection="0">
      <alignment vertical="center"/>
    </xf>
    <xf numFmtId="177" fontId="17" fillId="0" borderId="37" applyNumberFormat="0"/>
    <xf numFmtId="177" fontId="99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3" fontId="11" fillId="0" borderId="37" applyFont="0" applyAlignment="0">
      <alignment horizontal="right" vertical="center"/>
    </xf>
    <xf numFmtId="177" fontId="17" fillId="0" borderId="37" applyNumberFormat="0"/>
    <xf numFmtId="0" fontId="55" fillId="0" borderId="37">
      <alignment horizont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221" fontId="4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114" fillId="51" borderId="11" applyNumberFormat="0" applyAlignment="0" applyProtection="0">
      <alignment vertical="center"/>
    </xf>
    <xf numFmtId="3" fontId="8" fillId="54" borderId="37" applyNumberFormat="0" applyFill="0" applyBorder="0" applyAlignment="0" applyProtection="0"/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0" fontId="35" fillId="54" borderId="37"/>
    <xf numFmtId="0" fontId="80" fillId="51" borderId="11" applyNumberFormat="0" applyAlignment="0" applyProtection="0">
      <alignment vertical="center"/>
    </xf>
    <xf numFmtId="10" fontId="35" fillId="56" borderId="37" applyNumberFormat="0" applyBorder="0" applyAlignment="0" applyProtection="0"/>
    <xf numFmtId="0" fontId="35" fillId="53" borderId="37"/>
    <xf numFmtId="0" fontId="55" fillId="0" borderId="37">
      <alignment horizontal="center"/>
    </xf>
    <xf numFmtId="0" fontId="35" fillId="54" borderId="37"/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0" fontId="35" fillId="54" borderId="37"/>
    <xf numFmtId="176" fontId="3" fillId="0" borderId="0" applyFont="0" applyFill="0" applyBorder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0" fontId="162" fillId="58" borderId="22" applyNumberFormat="0" applyFon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5" fillId="53" borderId="37"/>
    <xf numFmtId="0" fontId="38" fillId="0" borderId="38">
      <alignment horizontal="left" vertical="center"/>
    </xf>
    <xf numFmtId="177" fontId="17" fillId="0" borderId="37" applyNumberFormat="0"/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177" fontId="17" fillId="0" borderId="0" applyFont="0" applyFill="0" applyBorder="0" applyAlignment="0" applyProtection="0"/>
    <xf numFmtId="177" fontId="17" fillId="0" borderId="37" applyNumberFormat="0"/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0" fontId="38" fillId="0" borderId="16">
      <alignment horizontal="left" vertical="center"/>
    </xf>
    <xf numFmtId="3" fontId="11" fillId="0" borderId="37" applyFont="0" applyAlignment="0">
      <alignment horizontal="right" vertical="center"/>
    </xf>
    <xf numFmtId="0" fontId="35" fillId="53" borderId="37"/>
    <xf numFmtId="0" fontId="100" fillId="58" borderId="22" applyNumberFormat="0" applyFont="0" applyAlignment="0" applyProtection="0">
      <alignment vertical="center"/>
    </xf>
    <xf numFmtId="211" fontId="90" fillId="0" borderId="37" applyBorder="0"/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45" fillId="58" borderId="22" applyNumberFormat="0" applyFon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0" fontId="81" fillId="38" borderId="11" applyNumberFormat="0" applyAlignment="0" applyProtection="0">
      <alignment vertical="center"/>
    </xf>
    <xf numFmtId="0" fontId="114" fillId="51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177" fontId="17" fillId="0" borderId="0" applyFont="0" applyFill="0" applyBorder="0" applyAlignment="0" applyProtection="0"/>
    <xf numFmtId="0" fontId="115" fillId="38" borderId="11" applyNumberFormat="0" applyAlignment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114" fillId="51" borderId="11" applyNumberFormat="0" applyAlignment="0" applyProtection="0">
      <alignment vertical="center"/>
    </xf>
    <xf numFmtId="177" fontId="17" fillId="0" borderId="37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0" fontId="49" fillId="0" borderId="17">
      <alignment horizontal="center"/>
    </xf>
    <xf numFmtId="0" fontId="35" fillId="54" borderId="37"/>
    <xf numFmtId="0" fontId="42" fillId="0" borderId="17"/>
    <xf numFmtId="10" fontId="35" fillId="56" borderId="37" applyNumberFormat="0" applyBorder="0" applyAlignment="0" applyProtection="0"/>
    <xf numFmtId="0" fontId="40" fillId="0" borderId="17">
      <alignment horizontal="center"/>
    </xf>
    <xf numFmtId="14" fontId="39" fillId="55" borderId="17">
      <alignment horizontal="center" vertical="center" wrapText="1"/>
    </xf>
    <xf numFmtId="0" fontId="35" fillId="53" borderId="37"/>
    <xf numFmtId="0" fontId="55" fillId="0" borderId="37">
      <alignment horizontal="center"/>
    </xf>
    <xf numFmtId="0" fontId="81" fillId="38" borderId="11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177" fontId="91" fillId="0" borderId="0" applyFont="0" applyFill="0" applyBorder="0" applyAlignment="0" applyProtection="0"/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177" fontId="17" fillId="0" borderId="0" applyFont="0" applyFill="0" applyBorder="0" applyAlignment="0" applyProtection="0"/>
    <xf numFmtId="0" fontId="116" fillId="51" borderId="23" applyNumberFormat="0" applyAlignment="0" applyProtection="0">
      <alignment vertical="center"/>
    </xf>
    <xf numFmtId="177" fontId="17" fillId="0" borderId="37" applyNumberFormat="0"/>
    <xf numFmtId="176" fontId="3" fillId="0" borderId="0" applyFont="0" applyFill="0" applyBorder="0" applyAlignment="0" applyProtection="0">
      <alignment vertical="center"/>
    </xf>
    <xf numFmtId="10" fontId="35" fillId="56" borderId="37" applyNumberFormat="0" applyBorder="0" applyAlignment="0" applyProtection="0"/>
    <xf numFmtId="0" fontId="35" fillId="53" borderId="37"/>
    <xf numFmtId="182" fontId="17" fillId="0" borderId="0" applyFont="0" applyFill="0" applyBorder="0" applyAlignment="0" applyProtection="0"/>
    <xf numFmtId="37" fontId="11" fillId="0" borderId="37" applyFont="0" applyAlignment="0">
      <alignment horizontal="right" vertical="center"/>
    </xf>
    <xf numFmtId="177" fontId="2" fillId="0" borderId="0" applyFont="0" applyFill="0" applyBorder="0" applyAlignment="0" applyProtection="0">
      <alignment vertical="center"/>
    </xf>
    <xf numFmtId="177" fontId="17" fillId="0" borderId="37" applyNumberFormat="0"/>
    <xf numFmtId="177" fontId="6" fillId="0" borderId="0" applyFont="0" applyFill="0" applyBorder="0" applyAlignment="0" applyProtection="0"/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0" fontId="77" fillId="0" borderId="20" applyNumberFormat="0" applyFill="0" applyAlignment="0" applyProtection="0">
      <alignment vertical="center"/>
    </xf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55" fillId="0" borderId="37">
      <alignment horizontal="center"/>
    </xf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177" fontId="17" fillId="0" borderId="37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" fontId="11" fillId="0" borderId="37" applyFont="0" applyAlignment="0">
      <alignment horizontal="right" vertical="center"/>
    </xf>
    <xf numFmtId="221" fontId="4" fillId="0" borderId="0" applyFont="0" applyFill="0" applyBorder="0" applyAlignment="0" applyProtection="0">
      <alignment vertical="center"/>
    </xf>
    <xf numFmtId="0" fontId="35" fillId="54" borderId="37"/>
    <xf numFmtId="0" fontId="45" fillId="58" borderId="22" applyNumberFormat="0" applyFon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211" fontId="88" fillId="0" borderId="37"/>
    <xf numFmtId="289" fontId="159" fillId="59" borderId="37" applyFont="0" applyFill="0" applyBorder="0" applyAlignment="0">
      <alignment horizontal="center"/>
    </xf>
    <xf numFmtId="0" fontId="35" fillId="0" borderId="37" applyNumberFormat="0" applyFill="0" applyBorder="0">
      <alignment horizontal="left" vertical="top"/>
    </xf>
    <xf numFmtId="0" fontId="35" fillId="0" borderId="37" applyNumberFormat="0" applyFill="0" applyBorder="0">
      <alignment horizontal="center" vertical="top" wrapText="1"/>
    </xf>
    <xf numFmtId="3" fontId="8" fillId="54" borderId="37" applyNumberFormat="0" applyFill="0" applyBorder="0" applyAlignment="0" applyProtection="0"/>
    <xf numFmtId="211" fontId="88" fillId="0" borderId="37"/>
    <xf numFmtId="211" fontId="90" fillId="0" borderId="37" applyBorder="0"/>
    <xf numFmtId="0" fontId="35" fillId="54" borderId="37"/>
    <xf numFmtId="0" fontId="35" fillId="53" borderId="37"/>
    <xf numFmtId="37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10" fontId="35" fillId="56" borderId="37" applyNumberFormat="0" applyBorder="0" applyAlignment="0" applyProtection="0"/>
    <xf numFmtId="0" fontId="35" fillId="54" borderId="37"/>
    <xf numFmtId="0" fontId="55" fillId="0" borderId="37">
      <alignment horizontal="center"/>
    </xf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10" fontId="35" fillId="56" borderId="37" applyNumberFormat="0" applyBorder="0" applyAlignment="0" applyProtection="0"/>
    <xf numFmtId="0" fontId="113" fillId="0" borderId="26" applyNumberFormat="0" applyFill="0" applyAlignment="0" applyProtection="0">
      <alignment vertical="center"/>
    </xf>
    <xf numFmtId="0" fontId="114" fillId="51" borderId="11" applyNumberFormat="0" applyAlignment="0" applyProtection="0">
      <alignment vertical="center"/>
    </xf>
    <xf numFmtId="177" fontId="17" fillId="0" borderId="37" applyNumberFormat="0"/>
    <xf numFmtId="0" fontId="35" fillId="53" borderId="37"/>
    <xf numFmtId="0" fontId="79" fillId="0" borderId="26" applyNumberFormat="0" applyFill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177" fontId="17" fillId="0" borderId="37" applyNumberFormat="0"/>
    <xf numFmtId="0" fontId="113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0" fontId="115" fillId="38" borderId="11" applyNumberForma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37" fontId="11" fillId="0" borderId="37" applyFont="0" applyAlignment="0">
      <alignment horizontal="right" vertical="center"/>
    </xf>
    <xf numFmtId="177" fontId="17" fillId="0" borderId="37" applyNumberFormat="0"/>
    <xf numFmtId="0" fontId="80" fillId="51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3" fontId="11" fillId="0" borderId="37" applyFont="0" applyAlignment="0">
      <alignment horizontal="right" vertical="center"/>
    </xf>
    <xf numFmtId="0" fontId="77" fillId="0" borderId="20" applyNumberFormat="0" applyFill="0" applyAlignment="0" applyProtection="0">
      <alignment vertical="center"/>
    </xf>
    <xf numFmtId="0" fontId="55" fillId="0" borderId="37">
      <alignment horizontal="center"/>
    </xf>
    <xf numFmtId="3" fontId="11" fillId="0" borderId="37" applyFont="0" applyAlignment="0">
      <alignment horizontal="right" vertical="center"/>
    </xf>
    <xf numFmtId="0" fontId="81" fillId="38" borderId="11" applyNumberFormat="0" applyAlignment="0" applyProtection="0">
      <alignment vertical="center"/>
    </xf>
    <xf numFmtId="10" fontId="35" fillId="56" borderId="37" applyNumberFormat="0" applyBorder="0" applyAlignment="0" applyProtection="0"/>
    <xf numFmtId="0" fontId="35" fillId="54" borderId="37"/>
    <xf numFmtId="0" fontId="55" fillId="0" borderId="37">
      <alignment horizontal="center"/>
    </xf>
    <xf numFmtId="0" fontId="81" fillId="38" borderId="11" applyNumberFormat="0" applyAlignment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162" fillId="58" borderId="22" applyNumberFormat="0" applyFont="0" applyAlignment="0" applyProtection="0">
      <alignment vertical="center"/>
    </xf>
    <xf numFmtId="177" fontId="17" fillId="0" borderId="37" applyNumberFormat="0"/>
    <xf numFmtId="0" fontId="35" fillId="53" borderId="37"/>
    <xf numFmtId="0" fontId="55" fillId="0" borderId="37">
      <alignment horizontal="center"/>
    </xf>
    <xf numFmtId="0" fontId="35" fillId="54" borderId="37"/>
    <xf numFmtId="0" fontId="45" fillId="58" borderId="22" applyNumberFormat="0" applyFont="0" applyAlignment="0" applyProtection="0">
      <alignment vertical="center"/>
    </xf>
    <xf numFmtId="177" fontId="17" fillId="0" borderId="37" applyNumberFormat="0"/>
    <xf numFmtId="0" fontId="50" fillId="1" borderId="38" applyNumberFormat="0" applyFont="0" applyAlignment="0">
      <alignment horizontal="center"/>
    </xf>
    <xf numFmtId="0" fontId="82" fillId="51" borderId="23" applyNumberFormat="0" applyAlignment="0" applyProtection="0">
      <alignment vertical="center"/>
    </xf>
    <xf numFmtId="37" fontId="11" fillId="0" borderId="37" applyFont="0" applyAlignment="0">
      <alignment horizontal="right" vertical="center"/>
    </xf>
    <xf numFmtId="0" fontId="81" fillId="38" borderId="11" applyNumberFormat="0" applyAlignment="0" applyProtection="0">
      <alignment vertical="center"/>
    </xf>
    <xf numFmtId="0" fontId="114" fillId="51" borderId="11" applyNumberFormat="0" applyAlignment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115" fillId="38" borderId="11" applyNumberFormat="0" applyAlignment="0" applyProtection="0">
      <alignment vertical="center"/>
    </xf>
    <xf numFmtId="177" fontId="17" fillId="0" borderId="37" applyNumberFormat="0"/>
    <xf numFmtId="0" fontId="50" fillId="1" borderId="38" applyNumberFormat="0" applyFont="0" applyAlignment="0">
      <alignment horizontal="center"/>
    </xf>
    <xf numFmtId="0" fontId="39" fillId="0" borderId="28" applyNumberFormat="0" applyFill="0">
      <alignment horizontal="left"/>
    </xf>
    <xf numFmtId="0" fontId="55" fillId="0" borderId="37">
      <alignment horizontal="center"/>
    </xf>
    <xf numFmtId="10" fontId="35" fillId="56" borderId="37" applyNumberFormat="0" applyBorder="0" applyAlignment="0" applyProtection="0"/>
    <xf numFmtId="211" fontId="90" fillId="0" borderId="37" applyBorder="0"/>
    <xf numFmtId="0" fontId="35" fillId="0" borderId="37" applyNumberFormat="0" applyFill="0" applyBorder="0">
      <alignment horizontal="center" vertical="top" wrapText="1"/>
    </xf>
    <xf numFmtId="211" fontId="88" fillId="0" borderId="37"/>
    <xf numFmtId="0" fontId="55" fillId="0" borderId="37">
      <alignment horizontal="center"/>
    </xf>
    <xf numFmtId="0" fontId="35" fillId="53" borderId="37"/>
    <xf numFmtId="0" fontId="80" fillId="51" borderId="11" applyNumberFormat="0" applyAlignment="0" applyProtection="0">
      <alignment vertical="center"/>
    </xf>
    <xf numFmtId="289" fontId="159" fillId="59" borderId="37" applyFont="0" applyFill="0" applyBorder="0" applyAlignment="0">
      <alignment horizontal="center"/>
    </xf>
    <xf numFmtId="0" fontId="80" fillId="51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177" fontId="17" fillId="0" borderId="37" applyNumberFormat="0"/>
    <xf numFmtId="0" fontId="55" fillId="0" borderId="37">
      <alignment horizontal="center"/>
    </xf>
    <xf numFmtId="3" fontId="8" fillId="54" borderId="37" applyNumberFormat="0" applyFill="0" applyBorder="0" applyAlignment="0" applyProtection="0"/>
    <xf numFmtId="0" fontId="35" fillId="0" borderId="37" applyNumberFormat="0" applyFill="0" applyBorder="0">
      <alignment horizontal="center" vertical="top" wrapText="1"/>
    </xf>
    <xf numFmtId="0" fontId="35" fillId="0" borderId="37" applyNumberFormat="0" applyFill="0" applyBorder="0">
      <alignment horizontal="left" vertical="top"/>
    </xf>
    <xf numFmtId="3" fontId="11" fillId="0" borderId="37" applyFont="0" applyAlignment="0">
      <alignment horizontal="right" vertical="center"/>
    </xf>
    <xf numFmtId="0" fontId="55" fillId="0" borderId="37">
      <alignment horizontal="center"/>
    </xf>
    <xf numFmtId="0" fontId="115" fillId="38" borderId="11" applyNumberFormat="0" applyAlignment="0" applyProtection="0">
      <alignment vertical="center"/>
    </xf>
    <xf numFmtId="177" fontId="17" fillId="0" borderId="37" applyNumberFormat="0"/>
    <xf numFmtId="177" fontId="17" fillId="0" borderId="37" applyNumberFormat="0"/>
    <xf numFmtId="0" fontId="180" fillId="0" borderId="20" applyNumberFormat="0" applyFill="0" applyAlignment="0" applyProtection="0">
      <alignment vertical="center"/>
    </xf>
    <xf numFmtId="0" fontId="114" fillId="51" borderId="11" applyNumberFormat="0" applyAlignment="0" applyProtection="0">
      <alignment vertical="center"/>
    </xf>
    <xf numFmtId="0" fontId="100" fillId="58" borderId="22" applyNumberFormat="0" applyFont="0" applyAlignment="0" applyProtection="0">
      <alignment vertical="center"/>
    </xf>
    <xf numFmtId="0" fontId="35" fillId="0" borderId="37" applyNumberFormat="0" applyFill="0" applyBorder="0">
      <alignment horizontal="left" vertical="top"/>
    </xf>
    <xf numFmtId="0" fontId="35" fillId="53" borderId="37"/>
    <xf numFmtId="177" fontId="17" fillId="0" borderId="37" applyNumberFormat="0"/>
    <xf numFmtId="3" fontId="8" fillId="54" borderId="37" applyNumberFormat="0" applyFill="0" applyBorder="0" applyAlignment="0" applyProtection="0"/>
    <xf numFmtId="0" fontId="79" fillId="0" borderId="26" applyNumberFormat="0" applyFill="0" applyAlignment="0" applyProtection="0">
      <alignment vertical="center"/>
    </xf>
    <xf numFmtId="0" fontId="55" fillId="0" borderId="37">
      <alignment horizontal="center"/>
    </xf>
    <xf numFmtId="0" fontId="50" fillId="1" borderId="16" applyNumberFormat="0" applyFont="0" applyAlignment="0">
      <alignment horizontal="center"/>
    </xf>
    <xf numFmtId="0" fontId="35" fillId="54" borderId="37"/>
    <xf numFmtId="10" fontId="35" fillId="56" borderId="37" applyNumberFormat="0" applyBorder="0" applyAlignment="0" applyProtection="0"/>
    <xf numFmtId="0" fontId="35" fillId="53" borderId="37"/>
    <xf numFmtId="177" fontId="17" fillId="0" borderId="37" applyNumberFormat="0"/>
    <xf numFmtId="0" fontId="100" fillId="58" borderId="22" applyNumberFormat="0" applyFon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55" fillId="0" borderId="37">
      <alignment horizontal="center"/>
    </xf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8" fillId="0" borderId="38">
      <alignment horizontal="left" vertical="center"/>
    </xf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0" fontId="38" fillId="0" borderId="38">
      <alignment horizontal="left" vertical="center"/>
    </xf>
    <xf numFmtId="289" fontId="159" fillId="59" borderId="37" applyFont="0" applyFill="0" applyBorder="0" applyAlignment="0">
      <alignment horizontal="center"/>
    </xf>
    <xf numFmtId="0" fontId="162" fillId="58" borderId="22" applyNumberFormat="0" applyFont="0" applyAlignment="0" applyProtection="0">
      <alignment vertical="center"/>
    </xf>
    <xf numFmtId="177" fontId="17" fillId="0" borderId="37" applyNumberFormat="0"/>
    <xf numFmtId="0" fontId="38" fillId="0" borderId="16">
      <alignment horizontal="left" vertical="center"/>
    </xf>
    <xf numFmtId="0" fontId="80" fillId="51" borderId="11" applyNumberFormat="0" applyAlignment="0" applyProtection="0">
      <alignment vertical="center"/>
    </xf>
    <xf numFmtId="0" fontId="50" fillId="1" borderId="16" applyNumberFormat="0" applyFont="0" applyAlignment="0">
      <alignment horizontal="center"/>
    </xf>
    <xf numFmtId="0" fontId="35" fillId="54" borderId="37"/>
    <xf numFmtId="0" fontId="50" fillId="1" borderId="38" applyNumberFormat="0" applyFont="0" applyAlignment="0">
      <alignment horizontal="center"/>
    </xf>
    <xf numFmtId="10" fontId="35" fillId="56" borderId="37" applyNumberFormat="0" applyBorder="0" applyAlignment="0" applyProtection="0"/>
    <xf numFmtId="0" fontId="50" fillId="1" borderId="16" applyNumberFormat="0" applyFont="0" applyAlignment="0">
      <alignment horizontal="center"/>
    </xf>
    <xf numFmtId="0" fontId="80" fillId="51" borderId="11" applyNumberFormat="0" applyAlignment="0" applyProtection="0">
      <alignment vertical="center"/>
    </xf>
    <xf numFmtId="0" fontId="50" fillId="1" borderId="16" applyNumberFormat="0" applyFont="0" applyAlignment="0">
      <alignment horizontal="center"/>
    </xf>
    <xf numFmtId="177" fontId="17" fillId="0" borderId="37" applyNumberFormat="0"/>
    <xf numFmtId="0" fontId="35" fillId="53" borderId="37"/>
    <xf numFmtId="0" fontId="182" fillId="0" borderId="26" applyNumberFormat="0" applyFill="0" applyAlignment="0" applyProtection="0">
      <alignment vertical="center"/>
    </xf>
    <xf numFmtId="0" fontId="38" fillId="0" borderId="38">
      <alignment horizontal="left"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0" fontId="185" fillId="0" borderId="21" applyNumberFormat="0" applyFill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55" fillId="0" borderId="37">
      <alignment horizontal="center"/>
    </xf>
    <xf numFmtId="3" fontId="11" fillId="0" borderId="37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211" fontId="90" fillId="0" borderId="37" applyBorder="0"/>
    <xf numFmtId="177" fontId="3" fillId="0" borderId="0" applyFont="0" applyFill="0" applyBorder="0" applyAlignment="0" applyProtection="0">
      <alignment vertical="center"/>
    </xf>
    <xf numFmtId="0" fontId="38" fillId="0" borderId="38">
      <alignment horizontal="left" vertical="center"/>
    </xf>
    <xf numFmtId="0" fontId="81" fillId="38" borderId="11" applyNumberFormat="0" applyAlignment="0" applyProtection="0">
      <alignment vertical="center"/>
    </xf>
    <xf numFmtId="0" fontId="50" fillId="1" borderId="38" applyNumberFormat="0" applyFont="0" applyAlignment="0">
      <alignment horizontal="center"/>
    </xf>
    <xf numFmtId="177" fontId="17" fillId="0" borderId="37" applyNumberFormat="0"/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0" fontId="38" fillId="0" borderId="38">
      <alignment horizontal="left" vertical="center"/>
    </xf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177" fontId="17" fillId="0" borderId="37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37" fontId="11" fillId="0" borderId="37" applyFont="0" applyAlignment="0">
      <alignment horizontal="right" vertical="center"/>
    </xf>
    <xf numFmtId="0" fontId="55" fillId="0" borderId="37">
      <alignment horizontal="center"/>
    </xf>
    <xf numFmtId="211" fontId="88" fillId="0" borderId="37"/>
    <xf numFmtId="0" fontId="116" fillId="51" borderId="23" applyNumberFormat="0" applyAlignment="0" applyProtection="0">
      <alignment vertical="center"/>
    </xf>
    <xf numFmtId="177" fontId="17" fillId="0" borderId="37" applyNumberFormat="0"/>
    <xf numFmtId="10" fontId="35" fillId="56" borderId="37" applyNumberFormat="0" applyBorder="0" applyAlignment="0" applyProtection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0" fontId="79" fillId="0" borderId="26" applyNumberFormat="0" applyFill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114" fillId="51" borderId="11" applyNumberFormat="0" applyAlignment="0" applyProtection="0">
      <alignment vertical="center"/>
    </xf>
    <xf numFmtId="0" fontId="55" fillId="0" borderId="37">
      <alignment horizontal="center"/>
    </xf>
    <xf numFmtId="0" fontId="35" fillId="54" borderId="37"/>
    <xf numFmtId="10" fontId="35" fillId="56" borderId="37" applyNumberFormat="0" applyBorder="0" applyAlignment="0" applyProtection="0"/>
    <xf numFmtId="0" fontId="79" fillId="0" borderId="26" applyNumberFormat="0" applyFill="0" applyAlignment="0" applyProtection="0">
      <alignment vertical="center"/>
    </xf>
    <xf numFmtId="0" fontId="35" fillId="53" borderId="37"/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113" fillId="0" borderId="26" applyNumberFormat="0" applyFill="0" applyAlignment="0" applyProtection="0">
      <alignment vertical="center"/>
    </xf>
    <xf numFmtId="177" fontId="17" fillId="0" borderId="37" applyNumberFormat="0"/>
    <xf numFmtId="177" fontId="17" fillId="0" borderId="37" applyNumberFormat="0"/>
    <xf numFmtId="0" fontId="82" fillId="51" borderId="23" applyNumberFormat="0" applyAlignment="0" applyProtection="0">
      <alignment vertical="center"/>
    </xf>
    <xf numFmtId="0" fontId="55" fillId="0" borderId="37">
      <alignment horizontal="center"/>
    </xf>
    <xf numFmtId="0" fontId="100" fillId="58" borderId="22" applyNumberFormat="0" applyFon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177" fontId="17" fillId="0" borderId="37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211" fontId="90" fillId="0" borderId="37" applyBorder="0"/>
    <xf numFmtId="211" fontId="88" fillId="0" borderId="37"/>
    <xf numFmtId="3" fontId="8" fillId="54" borderId="37" applyNumberFormat="0" applyFill="0" applyBorder="0" applyAlignment="0" applyProtection="0"/>
    <xf numFmtId="0" fontId="35" fillId="0" borderId="37" applyNumberFormat="0" applyFill="0" applyBorder="0">
      <alignment horizontal="center" vertical="top" wrapText="1"/>
    </xf>
    <xf numFmtId="0" fontId="35" fillId="0" borderId="37" applyNumberFormat="0" applyFill="0" applyBorder="0">
      <alignment horizontal="left" vertical="top"/>
    </xf>
    <xf numFmtId="0" fontId="82" fillId="51" borderId="23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289" fontId="159" fillId="59" borderId="37" applyFont="0" applyFill="0" applyBorder="0" applyAlignment="0">
      <alignment horizontal="center"/>
    </xf>
    <xf numFmtId="0" fontId="162" fillId="58" borderId="22" applyNumberFormat="0" applyFon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81" fillId="38" borderId="11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177" fontId="17" fillId="0" borderId="0" applyFont="0" applyFill="0" applyBorder="0" applyAlignment="0" applyProtection="0"/>
    <xf numFmtId="177" fontId="17" fillId="0" borderId="37" applyNumberFormat="0"/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0" fontId="45" fillId="58" borderId="22" applyNumberFormat="0" applyFon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37" applyNumberFormat="0"/>
    <xf numFmtId="177" fontId="17" fillId="0" borderId="37" applyNumberFormat="0"/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0" fontId="35" fillId="54" borderId="37"/>
    <xf numFmtId="10" fontId="35" fillId="56" borderId="37" applyNumberFormat="0" applyBorder="0" applyAlignment="0" applyProtection="0"/>
    <xf numFmtId="0" fontId="35" fillId="53" borderId="37"/>
    <xf numFmtId="0" fontId="82" fillId="51" borderId="23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3" fontId="11" fillId="0" borderId="37" applyFont="0" applyAlignment="0">
      <alignment horizontal="right" vertical="center"/>
    </xf>
    <xf numFmtId="10" fontId="35" fillId="56" borderId="37" applyNumberFormat="0" applyBorder="0" applyAlignment="0" applyProtection="0"/>
    <xf numFmtId="0" fontId="55" fillId="0" borderId="37">
      <alignment horizontal="center"/>
    </xf>
    <xf numFmtId="10" fontId="35" fillId="56" borderId="37" applyNumberFormat="0" applyBorder="0" applyAlignment="0" applyProtection="0"/>
    <xf numFmtId="0" fontId="45" fillId="58" borderId="22" applyNumberFormat="0" applyFont="0" applyAlignment="0" applyProtection="0">
      <alignment vertical="center"/>
    </xf>
    <xf numFmtId="10" fontId="35" fillId="56" borderId="37" applyNumberFormat="0" applyBorder="0" applyAlignment="0" applyProtection="0"/>
    <xf numFmtId="177" fontId="17" fillId="0" borderId="37" applyNumberFormat="0"/>
    <xf numFmtId="0" fontId="35" fillId="53" borderId="37"/>
    <xf numFmtId="0" fontId="35" fillId="54" borderId="37"/>
    <xf numFmtId="177" fontId="17" fillId="0" borderId="37" applyNumberFormat="0"/>
    <xf numFmtId="0" fontId="35" fillId="53" borderId="37"/>
    <xf numFmtId="0" fontId="162" fillId="58" borderId="22" applyNumberFormat="0" applyFont="0" applyAlignment="0" applyProtection="0">
      <alignment vertical="center"/>
    </xf>
    <xf numFmtId="177" fontId="17" fillId="0" borderId="37" applyNumberFormat="0"/>
    <xf numFmtId="177" fontId="17" fillId="0" borderId="37" applyNumberFormat="0"/>
    <xf numFmtId="0" fontId="35" fillId="0" borderId="37" applyNumberFormat="0" applyFill="0" applyBorder="0">
      <alignment horizontal="left" vertical="top"/>
    </xf>
    <xf numFmtId="10" fontId="35" fillId="56" borderId="37" applyNumberFormat="0" applyBorder="0" applyAlignment="0" applyProtection="0"/>
    <xf numFmtId="0" fontId="55" fillId="0" borderId="37">
      <alignment horizontal="center"/>
    </xf>
    <xf numFmtId="0" fontId="38" fillId="0" borderId="38">
      <alignment horizontal="left" vertical="center"/>
    </xf>
    <xf numFmtId="0" fontId="182" fillId="0" borderId="26" applyNumberFormat="0" applyFill="0" applyAlignment="0" applyProtection="0">
      <alignment vertical="center"/>
    </xf>
    <xf numFmtId="0" fontId="55" fillId="0" borderId="37">
      <alignment horizontal="center"/>
    </xf>
    <xf numFmtId="10" fontId="35" fillId="56" borderId="37" applyNumberFormat="0" applyBorder="0" applyAlignment="0" applyProtection="0"/>
    <xf numFmtId="0" fontId="35" fillId="54" borderId="37"/>
    <xf numFmtId="0" fontId="55" fillId="0" borderId="37">
      <alignment horizontal="center"/>
    </xf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177" fontId="17" fillId="0" borderId="37" applyNumberFormat="0"/>
    <xf numFmtId="0" fontId="38" fillId="0" borderId="38">
      <alignment horizontal="left" vertical="center"/>
    </xf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37" fontId="11" fillId="0" borderId="37" applyFont="0" applyAlignment="0">
      <alignment horizontal="right" vertical="center"/>
    </xf>
    <xf numFmtId="0" fontId="180" fillId="0" borderId="20" applyNumberFormat="0" applyFill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0" fontId="162" fillId="58" borderId="22" applyNumberFormat="0" applyFont="0" applyAlignment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55" fillId="0" borderId="37">
      <alignment horizontal="center"/>
    </xf>
    <xf numFmtId="0" fontId="55" fillId="0" borderId="37">
      <alignment horizontal="center"/>
    </xf>
    <xf numFmtId="0" fontId="35" fillId="53" borderId="37"/>
    <xf numFmtId="0" fontId="100" fillId="58" borderId="22" applyNumberFormat="0" applyFont="0" applyAlignment="0" applyProtection="0">
      <alignment vertical="center"/>
    </xf>
    <xf numFmtId="0" fontId="38" fillId="0" borderId="38">
      <alignment horizontal="left" vertical="center"/>
    </xf>
    <xf numFmtId="0" fontId="45" fillId="58" borderId="22" applyNumberFormat="0" applyFont="0" applyAlignment="0" applyProtection="0">
      <alignment vertical="center"/>
    </xf>
    <xf numFmtId="0" fontId="35" fillId="54" borderId="37"/>
    <xf numFmtId="0" fontId="82" fillId="51" borderId="23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35" fillId="53" borderId="37"/>
    <xf numFmtId="37" fontId="11" fillId="0" borderId="37" applyFont="0" applyAlignment="0">
      <alignment horizontal="right" vertical="center"/>
    </xf>
    <xf numFmtId="0" fontId="116" fillId="51" borderId="23" applyNumberFormat="0" applyAlignment="0" applyProtection="0">
      <alignment vertical="center"/>
    </xf>
    <xf numFmtId="0" fontId="183" fillId="51" borderId="11" applyNumberFormat="0" applyAlignment="0" applyProtection="0">
      <alignment vertical="center"/>
    </xf>
    <xf numFmtId="177" fontId="17" fillId="0" borderId="37" applyNumberFormat="0"/>
    <xf numFmtId="0" fontId="50" fillId="1" borderId="38" applyNumberFormat="0" applyFont="0" applyAlignment="0">
      <alignment horizontal="center"/>
    </xf>
    <xf numFmtId="0" fontId="80" fillId="51" borderId="11" applyNumberFormat="0" applyAlignment="0" applyProtection="0">
      <alignment vertical="center"/>
    </xf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100" fillId="58" borderId="22" applyNumberFormat="0" applyFon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55" fillId="0" borderId="37">
      <alignment horizontal="center"/>
    </xf>
    <xf numFmtId="0" fontId="169" fillId="38" borderId="11" applyNumberFormat="0" applyAlignment="0" applyProtection="0">
      <alignment vertical="center"/>
    </xf>
    <xf numFmtId="0" fontId="55" fillId="0" borderId="37">
      <alignment horizontal="center"/>
    </xf>
    <xf numFmtId="0" fontId="162" fillId="58" borderId="22" applyNumberFormat="0" applyFon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0" fontId="50" fillId="1" borderId="38" applyNumberFormat="0" applyFont="0" applyAlignment="0">
      <alignment horizontal="center"/>
    </xf>
    <xf numFmtId="0" fontId="162" fillId="58" borderId="22" applyNumberFormat="0" applyFont="0" applyAlignment="0" applyProtection="0">
      <alignment vertical="center"/>
    </xf>
    <xf numFmtId="0" fontId="115" fillId="38" borderId="11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7" fillId="0" borderId="37" applyNumberFormat="0"/>
    <xf numFmtId="177" fontId="17" fillId="0" borderId="37" applyNumberFormat="0"/>
    <xf numFmtId="177" fontId="17" fillId="0" borderId="37" applyNumberFormat="0"/>
    <xf numFmtId="0" fontId="35" fillId="53" borderId="37"/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289" fontId="159" fillId="59" borderId="37" applyFont="0" applyFill="0" applyBorder="0" applyAlignment="0">
      <alignment horizontal="center"/>
    </xf>
    <xf numFmtId="0" fontId="79" fillId="0" borderId="26" applyNumberFormat="0" applyFill="0" applyAlignment="0" applyProtection="0">
      <alignment vertical="center"/>
    </xf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0" fontId="35" fillId="54" borderId="37"/>
    <xf numFmtId="0" fontId="162" fillId="58" borderId="22" applyNumberFormat="0" applyFont="0" applyAlignment="0" applyProtection="0">
      <alignment vertical="center"/>
    </xf>
    <xf numFmtId="0" fontId="55" fillId="0" borderId="37">
      <alignment horizontal="center"/>
    </xf>
    <xf numFmtId="0" fontId="183" fillId="51" borderId="11" applyNumberFormat="0" applyAlignment="0" applyProtection="0">
      <alignment vertical="center"/>
    </xf>
    <xf numFmtId="0" fontId="100" fillId="58" borderId="22" applyNumberFormat="0" applyFont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3" fontId="11" fillId="0" borderId="37" applyFont="0" applyAlignment="0">
      <alignment horizontal="right"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45" fillId="58" borderId="22" applyNumberFormat="0" applyFont="0" applyAlignment="0" applyProtection="0">
      <alignment vertical="center"/>
    </xf>
    <xf numFmtId="37" fontId="11" fillId="0" borderId="37" applyFont="0" applyAlignment="0">
      <alignment horizontal="right" vertical="center"/>
    </xf>
    <xf numFmtId="0" fontId="50" fillId="1" borderId="38" applyNumberFormat="0" applyFont="0" applyAlignment="0">
      <alignment horizontal="center"/>
    </xf>
    <xf numFmtId="0" fontId="50" fillId="1" borderId="38" applyNumberFormat="0" applyFont="0" applyAlignment="0">
      <alignment horizontal="center"/>
    </xf>
    <xf numFmtId="177" fontId="17" fillId="0" borderId="37" applyNumberFormat="0"/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177" fontId="17" fillId="0" borderId="37" applyNumberFormat="0"/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0" fontId="35" fillId="54" borderId="37"/>
    <xf numFmtId="10" fontId="35" fillId="56" borderId="37" applyNumberFormat="0" applyBorder="0" applyAlignment="0" applyProtection="0"/>
    <xf numFmtId="0" fontId="35" fillId="53" borderId="37"/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0" fontId="35" fillId="53" borderId="37"/>
    <xf numFmtId="0" fontId="35" fillId="54" borderId="37"/>
    <xf numFmtId="0" fontId="82" fillId="51" borderId="23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115" fillId="38" borderId="11" applyNumberFormat="0" applyAlignment="0" applyProtection="0">
      <alignment vertical="center"/>
    </xf>
    <xf numFmtId="0" fontId="55" fillId="0" borderId="37">
      <alignment horizontal="center"/>
    </xf>
    <xf numFmtId="0" fontId="35" fillId="54" borderId="37"/>
    <xf numFmtId="0" fontId="116" fillId="51" borderId="23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177" fontId="17" fillId="0" borderId="37" applyNumberFormat="0"/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170" fillId="51" borderId="23" applyNumberFormat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82" fillId="51" borderId="23" applyNumberFormat="0" applyAlignment="0" applyProtection="0">
      <alignment vertical="center"/>
    </xf>
    <xf numFmtId="10" fontId="35" fillId="56" borderId="37" applyNumberFormat="0" applyBorder="0" applyAlignment="0" applyProtection="0"/>
    <xf numFmtId="0" fontId="82" fillId="51" borderId="23" applyNumberFormat="0" applyAlignment="0" applyProtection="0">
      <alignment vertical="center"/>
    </xf>
    <xf numFmtId="0" fontId="55" fillId="0" borderId="37">
      <alignment horizontal="center"/>
    </xf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55" fillId="0" borderId="37">
      <alignment horizont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0" fontId="4" fillId="0" borderId="0">
      <alignment vertic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5" fillId="53" borderId="10"/>
    <xf numFmtId="10" fontId="35" fillId="56" borderId="10" applyNumberFormat="0" applyBorder="0" applyAlignment="0" applyProtection="0"/>
    <xf numFmtId="0" fontId="35" fillId="54" borderId="10"/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77" fillId="0" borderId="20" applyNumberFormat="0" applyFill="0" applyAlignment="0" applyProtection="0">
      <alignment vertical="center"/>
    </xf>
    <xf numFmtId="177" fontId="17" fillId="0" borderId="37" applyNumberFormat="0"/>
    <xf numFmtId="0" fontId="27" fillId="0" borderId="35" applyNumberFormat="0" applyFill="0" applyProtection="0">
      <alignment horizontal="center"/>
    </xf>
    <xf numFmtId="0" fontId="77" fillId="0" borderId="20" applyNumberFormat="0" applyFill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/>
    <xf numFmtId="0" fontId="111" fillId="0" borderId="20" applyNumberFormat="0" applyFill="0" applyAlignment="0" applyProtection="0">
      <alignment vertical="center"/>
    </xf>
    <xf numFmtId="177" fontId="17" fillId="0" borderId="37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37" applyNumberFormat="0"/>
    <xf numFmtId="176" fontId="3" fillId="0" borderId="0" applyFont="0" applyFill="0" applyBorder="0" applyAlignment="0" applyProtection="0">
      <alignment vertical="center"/>
    </xf>
    <xf numFmtId="182" fontId="17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17" fillId="0" borderId="37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0" fontId="180" fillId="0" borderId="20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7" fillId="0" borderId="35" applyNumberFormat="0" applyFill="0" applyProtection="0">
      <alignment horizont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7" fillId="0" borderId="37" applyNumberFormat="0"/>
    <xf numFmtId="177" fontId="17" fillId="0" borderId="37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17" fillId="0" borderId="37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7" fillId="0" borderId="37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0" fontId="37" fillId="0" borderId="35" applyNumberFormat="0" applyFill="0" applyBorder="0" applyAlignment="0" applyProtection="0"/>
    <xf numFmtId="0" fontId="26" fillId="0" borderId="35" applyNumberFormat="0" applyFill="0" applyBorder="0" applyAlignment="0" applyProtection="0"/>
    <xf numFmtId="0" fontId="156" fillId="0" borderId="35" applyNumberFormat="0" applyFill="0" applyBorder="0" applyAlignment="0" applyProtection="0"/>
    <xf numFmtId="0" fontId="85" fillId="0" borderId="35" applyNumberFormat="0" applyFill="0" applyBorder="0"/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/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37" applyNumberFormat="0"/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177" fontId="17" fillId="0" borderId="37" applyNumberFormat="0"/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38" fillId="0" borderId="38">
      <alignment horizontal="left" vertical="center"/>
    </xf>
    <xf numFmtId="177" fontId="17" fillId="0" borderId="0" applyFont="0" applyFill="0" applyBorder="0" applyAlignment="0" applyProtection="0"/>
    <xf numFmtId="0" fontId="55" fillId="0" borderId="37">
      <alignment horizontal="center"/>
    </xf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177" fontId="17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17" fillId="0" borderId="37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0" fontId="35" fillId="54" borderId="37"/>
    <xf numFmtId="10" fontId="35" fillId="56" borderId="37" applyNumberFormat="0" applyBorder="0" applyAlignment="0" applyProtection="0"/>
    <xf numFmtId="0" fontId="35" fillId="53" borderId="37"/>
    <xf numFmtId="0" fontId="55" fillId="0" borderId="37">
      <alignment horizont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79" fillId="0" borderId="26" applyNumberFormat="0" applyFill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177" fontId="17" fillId="0" borderId="0" applyFont="0" applyFill="0" applyBorder="0" applyAlignment="0" applyProtection="0"/>
    <xf numFmtId="0" fontId="77" fillId="0" borderId="20" applyNumberFormat="0" applyFill="0" applyAlignment="0" applyProtection="0">
      <alignment vertical="center"/>
    </xf>
    <xf numFmtId="177" fontId="17" fillId="0" borderId="37" applyNumberFormat="0"/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0" fontId="27" fillId="0" borderId="13" applyNumberFormat="0" applyFill="0" applyProtection="0">
      <alignment horizontal="center"/>
    </xf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81" fillId="38" borderId="11" applyNumberFormat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177" fontId="17" fillId="0" borderId="0" applyFont="0" applyFill="0" applyBorder="0" applyAlignment="0" applyProtection="0"/>
    <xf numFmtId="0" fontId="115" fillId="38" borderId="11" applyNumberForma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114" fillId="51" borderId="11" applyNumberFormat="0" applyAlignment="0" applyProtection="0">
      <alignment vertical="center"/>
    </xf>
    <xf numFmtId="177" fontId="17" fillId="0" borderId="37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0" fontId="35" fillId="54" borderId="37"/>
    <xf numFmtId="10" fontId="35" fillId="56" borderId="37" applyNumberFormat="0" applyBorder="0" applyAlignment="0" applyProtection="0"/>
    <xf numFmtId="0" fontId="35" fillId="53" borderId="37"/>
    <xf numFmtId="0" fontId="55" fillId="0" borderId="37">
      <alignment horizontal="center"/>
    </xf>
    <xf numFmtId="0" fontId="81" fillId="38" borderId="11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177" fontId="91" fillId="0" borderId="0" applyFont="0" applyFill="0" applyBorder="0" applyAlignment="0" applyProtection="0"/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177" fontId="17" fillId="0" borderId="0" applyFont="0" applyFill="0" applyBorder="0" applyAlignment="0" applyProtection="0"/>
    <xf numFmtId="0" fontId="116" fillId="51" borderId="23" applyNumberFormat="0" applyAlignment="0" applyProtection="0">
      <alignment vertical="center"/>
    </xf>
    <xf numFmtId="177" fontId="17" fillId="0" borderId="37" applyNumberFormat="0"/>
    <xf numFmtId="176" fontId="3" fillId="0" borderId="0" applyFont="0" applyFill="0" applyBorder="0" applyAlignment="0" applyProtection="0">
      <alignment vertical="center"/>
    </xf>
    <xf numFmtId="182" fontId="17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55" fillId="0" borderId="37">
      <alignment horizontal="center"/>
    </xf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177" fontId="17" fillId="0" borderId="37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0" fontId="39" fillId="0" borderId="36" applyNumberFormat="0" applyFill="0">
      <alignment horizontal="left"/>
    </xf>
    <xf numFmtId="211" fontId="90" fillId="0" borderId="37" applyBorder="0"/>
    <xf numFmtId="211" fontId="88" fillId="0" borderId="37"/>
    <xf numFmtId="3" fontId="8" fillId="54" borderId="37" applyNumberFormat="0" applyFill="0" applyBorder="0" applyAlignment="0" applyProtection="0"/>
    <xf numFmtId="0" fontId="35" fillId="0" borderId="37" applyNumberFormat="0" applyFill="0" applyBorder="0">
      <alignment horizontal="center" vertical="top" wrapText="1"/>
    </xf>
    <xf numFmtId="0" fontId="35" fillId="0" borderId="37" applyNumberFormat="0" applyFill="0" applyBorder="0">
      <alignment horizontal="left" vertical="top"/>
    </xf>
    <xf numFmtId="0" fontId="50" fillId="1" borderId="38" applyNumberFormat="0" applyFont="0" applyAlignment="0">
      <alignment horizontal="center"/>
    </xf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289" fontId="159" fillId="59" borderId="37" applyFont="0" applyFill="0" applyBorder="0" applyAlignment="0">
      <alignment horizontal="center"/>
    </xf>
    <xf numFmtId="0" fontId="180" fillId="0" borderId="20" applyNumberFormat="0" applyFill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7" fillId="0" borderId="13" applyNumberFormat="0" applyFill="0" applyProtection="0">
      <alignment horizont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177" fontId="17" fillId="0" borderId="37" applyNumberFormat="0"/>
    <xf numFmtId="37" fontId="11" fillId="0" borderId="37" applyFont="0" applyAlignment="0">
      <alignment horizontal="right" vertical="center"/>
    </xf>
    <xf numFmtId="3" fontId="11" fillId="0" borderId="37" applyFont="0" applyAlignment="0">
      <alignment horizontal="right" vertical="center"/>
    </xf>
    <xf numFmtId="0" fontId="35" fillId="53" borderId="37"/>
    <xf numFmtId="0" fontId="38" fillId="0" borderId="38">
      <alignment horizontal="left" vertical="center"/>
    </xf>
    <xf numFmtId="10" fontId="35" fillId="56" borderId="37" applyNumberFormat="0" applyBorder="0" applyAlignment="0" applyProtection="0"/>
    <xf numFmtId="0" fontId="35" fillId="54" borderId="37"/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177" fontId="17" fillId="0" borderId="37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0" fontId="116" fillId="51" borderId="23" applyNumberFormat="0" applyAlignment="0" applyProtection="0">
      <alignment vertical="center"/>
    </xf>
    <xf numFmtId="177" fontId="17" fillId="0" borderId="37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0" fontId="35" fillId="54" borderId="37"/>
    <xf numFmtId="10" fontId="35" fillId="56" borderId="37" applyNumberFormat="0" applyBorder="0" applyAlignment="0" applyProtection="0"/>
    <xf numFmtId="0" fontId="35" fillId="53" borderId="37"/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177" fontId="17" fillId="0" borderId="37" applyNumberFormat="0"/>
    <xf numFmtId="0" fontId="116" fillId="51" borderId="23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0" fontId="55" fillId="0" borderId="37">
      <alignment horizontal="center"/>
    </xf>
    <xf numFmtId="0" fontId="55" fillId="0" borderId="37">
      <alignment horizont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177" fontId="17" fillId="0" borderId="37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37">
      <alignment horizontal="center"/>
    </xf>
    <xf numFmtId="211" fontId="90" fillId="0" borderId="37" applyBorder="0"/>
    <xf numFmtId="211" fontId="88" fillId="0" borderId="37"/>
    <xf numFmtId="3" fontId="8" fillId="54" borderId="37" applyNumberFormat="0" applyFill="0" applyBorder="0" applyAlignment="0" applyProtection="0"/>
    <xf numFmtId="0" fontId="35" fillId="0" borderId="37" applyNumberFormat="0" applyFill="0" applyBorder="0">
      <alignment horizontal="center" vertical="top" wrapText="1"/>
    </xf>
    <xf numFmtId="0" fontId="35" fillId="0" borderId="37" applyNumberFormat="0" applyFill="0" applyBorder="0">
      <alignment horizontal="left" vertical="top"/>
    </xf>
    <xf numFmtId="0" fontId="37" fillId="0" borderId="13" applyNumberFormat="0" applyFill="0" applyBorder="0" applyAlignment="0" applyProtection="0"/>
    <xf numFmtId="0" fontId="26" fillId="0" borderId="13" applyNumberFormat="0" applyFill="0" applyBorder="0" applyAlignment="0" applyProtection="0"/>
    <xf numFmtId="0" fontId="156" fillId="0" borderId="13" applyNumberFormat="0" applyFill="0" applyBorder="0" applyAlignment="0" applyProtection="0"/>
    <xf numFmtId="0" fontId="85" fillId="0" borderId="13" applyNumberFormat="0" applyFill="0" applyBorder="0"/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289" fontId="159" fillId="59" borderId="37" applyFont="0" applyFill="0" applyBorder="0" applyAlignment="0">
      <alignment horizontal="center"/>
    </xf>
    <xf numFmtId="0" fontId="182" fillId="0" borderId="26" applyNumberFormat="0" applyFill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177" fontId="17" fillId="0" borderId="0" applyFont="0" applyFill="0" applyBorder="0" applyAlignment="0" applyProtection="0"/>
    <xf numFmtId="177" fontId="17" fillId="0" borderId="37" applyNumberFormat="0"/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177" fontId="3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37" applyNumberFormat="0"/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37">
      <alignment horizontal="center"/>
    </xf>
    <xf numFmtId="0" fontId="35" fillId="54" borderId="37"/>
    <xf numFmtId="10" fontId="35" fillId="56" borderId="37" applyNumberFormat="0" applyBorder="0" applyAlignment="0" applyProtection="0"/>
    <xf numFmtId="0" fontId="35" fillId="53" borderId="37"/>
    <xf numFmtId="0" fontId="82" fillId="51" borderId="23" applyNumberFormat="0" applyAlignment="0" applyProtection="0">
      <alignment vertical="center"/>
    </xf>
    <xf numFmtId="3" fontId="11" fillId="0" borderId="37" applyFont="0" applyAlignment="0">
      <alignment horizontal="right" vertical="center"/>
    </xf>
    <xf numFmtId="37" fontId="11" fillId="0" borderId="37" applyFont="0" applyAlignment="0">
      <alignment horizontal="right"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37" applyNumberFormat="0"/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177" fontId="8" fillId="0" borderId="0" applyNumberFormat="0" applyFill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8" fillId="0" borderId="16">
      <alignment horizontal="left"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111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50" fillId="1" borderId="16" applyNumberFormat="0" applyFont="0" applyAlignment="0">
      <alignment horizontal="center"/>
    </xf>
    <xf numFmtId="0" fontId="38" fillId="0" borderId="16">
      <alignment horizontal="left"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0" fontId="50" fillId="1" borderId="16" applyNumberFormat="0" applyFont="0" applyAlignment="0">
      <alignment horizont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55" fillId="0" borderId="10">
      <alignment horizont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55" fillId="0" borderId="10">
      <alignment horizont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177" fontId="91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176" fontId="3" fillId="0" borderId="0" applyFont="0" applyFill="0" applyBorder="0" applyAlignment="0" applyProtection="0">
      <alignment vertical="center"/>
    </xf>
    <xf numFmtId="182" fontId="17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55" fillId="0" borderId="10">
      <alignment horizontal="center"/>
    </xf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10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211" fontId="90" fillId="0" borderId="10" applyBorder="0"/>
    <xf numFmtId="211" fontId="88" fillId="0" borderId="10"/>
    <xf numFmtId="3" fontId="8" fillId="54" borderId="10" applyNumberFormat="0" applyFill="0" applyBorder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289" fontId="159" fillId="59" borderId="10" applyFont="0" applyFill="0" applyBorder="0" applyAlignment="0">
      <alignment horizont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77" fillId="0" borderId="20" applyNumberFormat="0" applyFill="0" applyAlignment="0" applyProtection="0">
      <alignment vertical="center"/>
    </xf>
    <xf numFmtId="0" fontId="50" fillId="1" borderId="16" applyNumberFormat="0" applyFont="0" applyAlignment="0">
      <alignment horizontal="center"/>
    </xf>
    <xf numFmtId="177" fontId="17" fillId="0" borderId="10" applyNumberFormat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10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17" fillId="0" borderId="10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8" fillId="0" borderId="16">
      <alignment horizontal="left" vertical="center"/>
    </xf>
    <xf numFmtId="0" fontId="35" fillId="53" borderId="10"/>
    <xf numFmtId="0" fontId="55" fillId="0" borderId="10">
      <alignment horizont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55" fillId="0" borderId="10">
      <alignment horizontal="center"/>
    </xf>
    <xf numFmtId="177" fontId="17" fillId="0" borderId="10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211" fontId="90" fillId="0" borderId="10" applyBorder="0"/>
    <xf numFmtId="211" fontId="88" fillId="0" borderId="10"/>
    <xf numFmtId="3" fontId="8" fillId="54" borderId="10" applyNumberFormat="0" applyFill="0" applyBorder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289" fontId="159" fillId="59" borderId="10" applyFont="0" applyFill="0" applyBorder="0" applyAlignment="0">
      <alignment horizont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177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177" fontId="17" fillId="0" borderId="10" applyNumberFormat="0"/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0" fontId="180" fillId="0" borderId="20" applyNumberFormat="0" applyFill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37" fontId="11" fillId="0" borderId="10" applyFont="0" applyAlignment="0">
      <alignment horizontal="right" vertical="center"/>
    </xf>
    <xf numFmtId="0" fontId="81" fillId="38" borderId="11" applyNumberFormat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17" fillId="0" borderId="10" applyNumberFormat="0"/>
    <xf numFmtId="0" fontId="169" fillId="38" borderId="11" applyNumberFormat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5" fillId="54" borderId="10"/>
    <xf numFmtId="0" fontId="100" fillId="58" borderId="22" applyNumberFormat="0" applyFont="0" applyAlignment="0" applyProtection="0">
      <alignment vertical="center"/>
    </xf>
    <xf numFmtId="0" fontId="35" fillId="53" borderId="10"/>
    <xf numFmtId="177" fontId="17" fillId="0" borderId="10" applyNumberFormat="0"/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0" fontId="38" fillId="0" borderId="16">
      <alignment horizontal="left" vertical="center"/>
    </xf>
    <xf numFmtId="0" fontId="81" fillId="38" borderId="11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180" fillId="0" borderId="20" applyNumberFormat="0" applyFill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35" fillId="53" borderId="10"/>
    <xf numFmtId="10" fontId="35" fillId="56" borderId="10" applyNumberFormat="0" applyBorder="0" applyAlignment="0" applyProtection="0"/>
    <xf numFmtId="0" fontId="55" fillId="0" borderId="10">
      <alignment horizontal="center"/>
    </xf>
    <xf numFmtId="0" fontId="35" fillId="0" borderId="10" applyNumberFormat="0" applyFill="0" applyBorder="0">
      <alignment horizontal="left" vertical="top"/>
    </xf>
    <xf numFmtId="177" fontId="17" fillId="0" borderId="10" applyNumberFormat="0"/>
    <xf numFmtId="3" fontId="11" fillId="0" borderId="10" applyFont="0" applyAlignment="0">
      <alignment horizontal="right" vertical="center"/>
    </xf>
    <xf numFmtId="211" fontId="88" fillId="0" borderId="10"/>
    <xf numFmtId="0" fontId="116" fillId="51" borderId="23" applyNumberFormat="0" applyAlignment="0" applyProtection="0">
      <alignment vertical="center"/>
    </xf>
    <xf numFmtId="0" fontId="50" fillId="1" borderId="16" applyNumberFormat="0" applyFont="0" applyAlignment="0">
      <alignment horizontal="center"/>
    </xf>
    <xf numFmtId="0" fontId="100" fillId="58" borderId="22" applyNumberFormat="0" applyFont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55" fillId="0" borderId="10">
      <alignment horizontal="center"/>
    </xf>
    <xf numFmtId="0" fontId="80" fillId="51" borderId="11" applyNumberFormat="0" applyAlignment="0" applyProtection="0">
      <alignment vertical="center"/>
    </xf>
    <xf numFmtId="37" fontId="11" fillId="0" borderId="10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82" fillId="51" borderId="23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5" fillId="0" borderId="10" applyNumberFormat="0" applyFill="0" applyBorder="0">
      <alignment horizontal="center" vertical="top" wrapText="1"/>
    </xf>
    <xf numFmtId="0" fontId="45" fillId="58" borderId="22" applyNumberFormat="0" applyFont="0" applyAlignment="0" applyProtection="0">
      <alignment vertical="center"/>
    </xf>
    <xf numFmtId="37" fontId="11" fillId="0" borderId="10" applyFont="0" applyAlignment="0">
      <alignment horizontal="right"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116" fillId="51" borderId="23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0" fontId="81" fillId="38" borderId="11" applyNumberFormat="0" applyAlignment="0" applyProtection="0">
      <alignment vertical="center"/>
    </xf>
    <xf numFmtId="0" fontId="35" fillId="0" borderId="10" applyNumberFormat="0" applyFill="0" applyBorder="0">
      <alignment horizontal="center" vertical="top" wrapText="1"/>
    </xf>
    <xf numFmtId="0" fontId="55" fillId="0" borderId="10">
      <alignment horizontal="center"/>
    </xf>
    <xf numFmtId="0" fontId="55" fillId="0" borderId="10">
      <alignment horizontal="center"/>
    </xf>
    <xf numFmtId="0" fontId="38" fillId="0" borderId="16">
      <alignment horizontal="left" vertical="center"/>
    </xf>
    <xf numFmtId="37" fontId="11" fillId="0" borderId="10" applyFont="0" applyAlignment="0">
      <alignment horizontal="right" vertical="center"/>
    </xf>
    <xf numFmtId="10" fontId="35" fillId="56" borderId="10" applyNumberFormat="0" applyBorder="0" applyAlignment="0" applyProtection="0"/>
    <xf numFmtId="177" fontId="17" fillId="0" borderId="10" applyNumberFormat="0"/>
    <xf numFmtId="0" fontId="116" fillId="51" borderId="23" applyNumberFormat="0" applyAlignment="0" applyProtection="0">
      <alignment vertical="center"/>
    </xf>
    <xf numFmtId="0" fontId="115" fillId="38" borderId="11" applyNumberFormat="0" applyAlignment="0" applyProtection="0">
      <alignment vertical="center"/>
    </xf>
    <xf numFmtId="0" fontId="55" fillId="0" borderId="10">
      <alignment horizontal="center"/>
    </xf>
    <xf numFmtId="0" fontId="55" fillId="0" borderId="10">
      <alignment horizontal="center"/>
    </xf>
    <xf numFmtId="0" fontId="170" fillId="51" borderId="23" applyNumberForma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35" fillId="53" borderId="10"/>
    <xf numFmtId="0" fontId="79" fillId="0" borderId="26" applyNumberFormat="0" applyFill="0" applyAlignment="0" applyProtection="0">
      <alignment vertic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38" fillId="0" borderId="16">
      <alignment horizontal="left" vertical="center"/>
    </xf>
    <xf numFmtId="177" fontId="17" fillId="0" borderId="0" applyFont="0" applyFill="0" applyBorder="0" applyAlignment="0" applyProtection="0"/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10" fontId="35" fillId="56" borderId="10" applyNumberFormat="0" applyBorder="0" applyAlignment="0" applyProtection="0"/>
    <xf numFmtId="0" fontId="77" fillId="0" borderId="20" applyNumberFormat="0" applyFill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114" fillId="51" borderId="11" applyNumberFormat="0" applyAlignment="0" applyProtection="0">
      <alignment vertical="center"/>
    </xf>
    <xf numFmtId="0" fontId="162" fillId="58" borderId="22" applyNumberFormat="0" applyFon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37" fontId="11" fillId="0" borderId="10" applyFont="0" applyAlignment="0">
      <alignment horizontal="right" vertical="center"/>
    </xf>
    <xf numFmtId="0" fontId="55" fillId="0" borderId="10">
      <alignment horizontal="center"/>
    </xf>
    <xf numFmtId="0" fontId="79" fillId="0" borderId="26" applyNumberFormat="0" applyFill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3" fontId="11" fillId="0" borderId="10" applyFont="0" applyAlignment="0">
      <alignment horizontal="right" vertical="center"/>
    </xf>
    <xf numFmtId="0" fontId="35" fillId="54" borderId="1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177" fontId="3" fillId="0" borderId="0" applyFont="0" applyFill="0" applyBorder="0" applyAlignment="0" applyProtection="0">
      <alignment vertical="center"/>
    </xf>
    <xf numFmtId="10" fontId="35" fillId="56" borderId="10" applyNumberFormat="0" applyBorder="0" applyAlignment="0" applyProtection="0"/>
    <xf numFmtId="0" fontId="116" fillId="51" borderId="23" applyNumberFormat="0" applyAlignment="0" applyProtection="0">
      <alignment vertical="center"/>
    </xf>
    <xf numFmtId="211" fontId="90" fillId="0" borderId="10" applyBorder="0"/>
    <xf numFmtId="0" fontId="55" fillId="0" borderId="10">
      <alignment horizontal="center"/>
    </xf>
    <xf numFmtId="3" fontId="11" fillId="0" borderId="10" applyFont="0" applyAlignment="0">
      <alignment horizontal="right" vertical="center"/>
    </xf>
    <xf numFmtId="0" fontId="81" fillId="38" borderId="11" applyNumberFormat="0" applyAlignment="0" applyProtection="0">
      <alignment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3" fontId="11" fillId="0" borderId="10" applyFont="0" applyAlignment="0">
      <alignment horizontal="right" vertical="center"/>
    </xf>
    <xf numFmtId="289" fontId="159" fillId="59" borderId="10" applyFont="0" applyFill="0" applyBorder="0" applyAlignment="0">
      <alignment horizontal="center"/>
    </xf>
    <xf numFmtId="0" fontId="38" fillId="0" borderId="16">
      <alignment horizontal="left" vertical="center"/>
    </xf>
    <xf numFmtId="0" fontId="81" fillId="38" borderId="11" applyNumberFormat="0" applyAlignment="0" applyProtection="0">
      <alignment vertical="center"/>
    </xf>
    <xf numFmtId="0" fontId="115" fillId="38" borderId="11" applyNumberForma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0" fontId="169" fillId="38" borderId="11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3" fillId="51" borderId="11" applyNumberFormat="0" applyAlignment="0" applyProtection="0">
      <alignment vertical="center"/>
    </xf>
    <xf numFmtId="177" fontId="8" fillId="0" borderId="0" applyNumberFormat="0" applyFill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55" fillId="0" borderId="10">
      <alignment horizont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0" fontId="79" fillId="0" borderId="26" applyNumberFormat="0" applyFill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00" fillId="58" borderId="22" applyNumberFormat="0" applyFont="0" applyAlignment="0" applyProtection="0">
      <alignment vertical="center"/>
    </xf>
    <xf numFmtId="10" fontId="35" fillId="56" borderId="10" applyNumberFormat="0" applyBorder="0" applyAlignment="0" applyProtection="0"/>
    <xf numFmtId="177" fontId="3" fillId="0" borderId="0" applyFont="0" applyFill="0" applyBorder="0" applyAlignment="0" applyProtection="0">
      <alignment vertical="center"/>
    </xf>
    <xf numFmtId="3" fontId="8" fillId="54" borderId="10" applyNumberFormat="0" applyFill="0" applyBorder="0" applyAlignment="0" applyProtection="0"/>
    <xf numFmtId="0" fontId="50" fillId="1" borderId="16" applyNumberFormat="0" applyFont="0" applyAlignment="0">
      <alignment horizontal="center"/>
    </xf>
    <xf numFmtId="0" fontId="115" fillId="38" borderId="11" applyNumberForma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35" fillId="53" borderId="10"/>
    <xf numFmtId="0" fontId="113" fillId="0" borderId="26" applyNumberFormat="0" applyFill="0" applyAlignment="0" applyProtection="0">
      <alignment vertical="center"/>
    </xf>
    <xf numFmtId="0" fontId="114" fillId="51" borderId="11" applyNumberFormat="0" applyAlignment="0" applyProtection="0">
      <alignment vertical="center"/>
    </xf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3" fontId="11" fillId="0" borderId="10" applyFont="0" applyAlignment="0">
      <alignment horizontal="right" vertical="center"/>
    </xf>
    <xf numFmtId="177" fontId="17" fillId="0" borderId="10" applyNumberFormat="0"/>
    <xf numFmtId="0" fontId="55" fillId="0" borderId="10">
      <alignment horizont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221" fontId="4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114" fillId="51" borderId="11" applyNumberFormat="0" applyAlignment="0" applyProtection="0">
      <alignment vertical="center"/>
    </xf>
    <xf numFmtId="3" fontId="8" fillId="54" borderId="10" applyNumberFormat="0" applyFill="0" applyBorder="0" applyAlignment="0" applyProtection="0"/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0" fontId="80" fillId="51" borderId="11" applyNumberFormat="0" applyAlignment="0" applyProtection="0">
      <alignment vertical="center"/>
    </xf>
    <xf numFmtId="10" fontId="35" fillId="56" borderId="10" applyNumberFormat="0" applyBorder="0" applyAlignment="0" applyProtection="0"/>
    <xf numFmtId="0" fontId="35" fillId="53" borderId="10"/>
    <xf numFmtId="0" fontId="55" fillId="0" borderId="10">
      <alignment horizontal="center"/>
    </xf>
    <xf numFmtId="0" fontId="35" fillId="54" borderId="10"/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0" fontId="35" fillId="54" borderId="10"/>
    <xf numFmtId="176" fontId="3" fillId="0" borderId="0" applyFont="0" applyFill="0" applyBorder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0" fontId="162" fillId="58" borderId="22" applyNumberFormat="0" applyFon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77" fontId="17" fillId="0" borderId="10" applyNumberFormat="0"/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8" fillId="0" borderId="16">
      <alignment horizontal="left" vertical="center"/>
    </xf>
    <xf numFmtId="3" fontId="11" fillId="0" borderId="10" applyFont="0" applyAlignment="0">
      <alignment horizontal="right" vertical="center"/>
    </xf>
    <xf numFmtId="0" fontId="35" fillId="53" borderId="10"/>
    <xf numFmtId="0" fontId="100" fillId="58" borderId="22" applyNumberFormat="0" applyFont="0" applyAlignment="0" applyProtection="0">
      <alignment vertical="center"/>
    </xf>
    <xf numFmtId="211" fontId="90" fillId="0" borderId="10" applyBorder="0"/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45" fillId="58" borderId="22" applyNumberFormat="0" applyFon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3" fontId="11" fillId="0" borderId="10" applyFont="0" applyAlignment="0">
      <alignment horizontal="right" vertical="center"/>
    </xf>
    <xf numFmtId="0" fontId="81" fillId="38" borderId="11" applyNumberFormat="0" applyAlignment="0" applyProtection="0">
      <alignment vertical="center"/>
    </xf>
    <xf numFmtId="0" fontId="114" fillId="51" borderId="11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0" fontId="115" fillId="38" borderId="11" applyNumberFormat="0" applyAlignment="0" applyProtection="0">
      <alignment vertical="center"/>
    </xf>
    <xf numFmtId="0" fontId="114" fillId="51" borderId="11" applyNumberFormat="0" applyAlignment="0" applyProtection="0">
      <alignment vertical="center"/>
    </xf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55" fillId="0" borderId="10">
      <alignment horizontal="center"/>
    </xf>
    <xf numFmtId="0" fontId="81" fillId="38" borderId="11" applyNumberFormat="0" applyAlignment="0" applyProtection="0">
      <alignment vertic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177" fontId="91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176" fontId="3" fillId="0" borderId="0" applyFont="0" applyFill="0" applyBorder="0" applyAlignment="0" applyProtection="0">
      <alignment vertical="center"/>
    </xf>
    <xf numFmtId="10" fontId="35" fillId="56" borderId="10" applyNumberFormat="0" applyBorder="0" applyAlignment="0" applyProtection="0"/>
    <xf numFmtId="0" fontId="35" fillId="53" borderId="10"/>
    <xf numFmtId="182" fontId="17" fillId="0" borderId="0" applyFont="0" applyFill="0" applyBorder="0" applyAlignment="0" applyProtection="0"/>
    <xf numFmtId="37" fontId="11" fillId="0" borderId="10" applyFont="0" applyAlignment="0">
      <alignment horizontal="right" vertical="center"/>
    </xf>
    <xf numFmtId="177" fontId="2" fillId="0" borderId="0" applyFont="0" applyFill="0" applyBorder="0" applyAlignment="0" applyProtection="0">
      <alignment vertical="center"/>
    </xf>
    <xf numFmtId="177" fontId="17" fillId="0" borderId="10" applyNumberFormat="0"/>
    <xf numFmtId="177" fontId="6" fillId="0" borderId="0" applyFont="0" applyFill="0" applyBorder="0" applyAlignment="0" applyProtection="0"/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77" fillId="0" borderId="20" applyNumberFormat="0" applyFill="0" applyAlignment="0" applyProtection="0">
      <alignment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55" fillId="0" borderId="10">
      <alignment horizontal="center"/>
    </xf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10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" fontId="11" fillId="0" borderId="10" applyFont="0" applyAlignment="0">
      <alignment horizontal="right" vertical="center"/>
    </xf>
    <xf numFmtId="221" fontId="4" fillId="0" borderId="0" applyFont="0" applyFill="0" applyBorder="0" applyAlignment="0" applyProtection="0">
      <alignment vertical="center"/>
    </xf>
    <xf numFmtId="0" fontId="35" fillId="54" borderId="10"/>
    <xf numFmtId="0" fontId="45" fillId="58" borderId="22" applyNumberFormat="0" applyFon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211" fontId="88" fillId="0" borderId="10"/>
    <xf numFmtId="289" fontId="159" fillId="59" borderId="10" applyFont="0" applyFill="0" applyBorder="0" applyAlignment="0">
      <alignment horizontal="center"/>
    </xf>
    <xf numFmtId="0" fontId="35" fillId="0" borderId="10" applyNumberFormat="0" applyFill="0" applyBorder="0">
      <alignment horizontal="left" vertical="top"/>
    </xf>
    <xf numFmtId="0" fontId="35" fillId="0" borderId="10" applyNumberFormat="0" applyFill="0" applyBorder="0">
      <alignment horizontal="center" vertical="top" wrapText="1"/>
    </xf>
    <xf numFmtId="3" fontId="8" fillId="54" borderId="10" applyNumberFormat="0" applyFill="0" applyBorder="0" applyAlignment="0" applyProtection="0"/>
    <xf numFmtId="211" fontId="88" fillId="0" borderId="10"/>
    <xf numFmtId="211" fontId="90" fillId="0" borderId="10" applyBorder="0"/>
    <xf numFmtId="0" fontId="35" fillId="54" borderId="10"/>
    <xf numFmtId="0" fontId="35" fillId="53" borderId="10"/>
    <xf numFmtId="37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10" fontId="35" fillId="56" borderId="10" applyNumberFormat="0" applyBorder="0" applyAlignment="0" applyProtection="0"/>
    <xf numFmtId="0" fontId="35" fillId="54" borderId="10"/>
    <xf numFmtId="0" fontId="55" fillId="0" borderId="10">
      <alignment horizontal="center"/>
    </xf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10" fontId="35" fillId="56" borderId="10" applyNumberFormat="0" applyBorder="0" applyAlignment="0" applyProtection="0"/>
    <xf numFmtId="0" fontId="113" fillId="0" borderId="26" applyNumberFormat="0" applyFill="0" applyAlignment="0" applyProtection="0">
      <alignment vertical="center"/>
    </xf>
    <xf numFmtId="0" fontId="114" fillId="51" borderId="11" applyNumberFormat="0" applyAlignment="0" applyProtection="0">
      <alignment vertical="center"/>
    </xf>
    <xf numFmtId="177" fontId="17" fillId="0" borderId="10" applyNumberFormat="0"/>
    <xf numFmtId="0" fontId="35" fillId="53" borderId="10"/>
    <xf numFmtId="0" fontId="79" fillId="0" borderId="26" applyNumberFormat="0" applyFill="0" applyAlignment="0" applyProtection="0">
      <alignment vertic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177" fontId="17" fillId="0" borderId="10" applyNumberFormat="0"/>
    <xf numFmtId="0" fontId="113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0" fontId="115" fillId="38" borderId="11" applyNumberForma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37" fontId="11" fillId="0" borderId="10" applyFont="0" applyAlignment="0">
      <alignment horizontal="right" vertical="center"/>
    </xf>
    <xf numFmtId="177" fontId="17" fillId="0" borderId="10" applyNumberFormat="0"/>
    <xf numFmtId="0" fontId="80" fillId="51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3" fontId="11" fillId="0" borderId="10" applyFont="0" applyAlignment="0">
      <alignment horizontal="right" vertical="center"/>
    </xf>
    <xf numFmtId="0" fontId="77" fillId="0" borderId="20" applyNumberFormat="0" applyFill="0" applyAlignment="0" applyProtection="0">
      <alignment vertical="center"/>
    </xf>
    <xf numFmtId="0" fontId="55" fillId="0" borderId="10">
      <alignment horizontal="center"/>
    </xf>
    <xf numFmtId="3" fontId="11" fillId="0" borderId="10" applyFont="0" applyAlignment="0">
      <alignment horizontal="right" vertical="center"/>
    </xf>
    <xf numFmtId="0" fontId="81" fillId="38" borderId="11" applyNumberFormat="0" applyAlignment="0" applyProtection="0">
      <alignment vertical="center"/>
    </xf>
    <xf numFmtId="10" fontId="35" fillId="56" borderId="10" applyNumberFormat="0" applyBorder="0" applyAlignment="0" applyProtection="0"/>
    <xf numFmtId="0" fontId="35" fillId="54" borderId="10"/>
    <xf numFmtId="0" fontId="55" fillId="0" borderId="10">
      <alignment horizontal="center"/>
    </xf>
    <xf numFmtId="0" fontId="81" fillId="38" borderId="11" applyNumberFormat="0" applyAlignment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162" fillId="58" borderId="22" applyNumberFormat="0" applyFont="0" applyAlignment="0" applyProtection="0">
      <alignment vertical="center"/>
    </xf>
    <xf numFmtId="177" fontId="17" fillId="0" borderId="10" applyNumberFormat="0"/>
    <xf numFmtId="0" fontId="35" fillId="53" borderId="10"/>
    <xf numFmtId="0" fontId="55" fillId="0" borderId="10">
      <alignment horizontal="center"/>
    </xf>
    <xf numFmtId="0" fontId="35" fillId="54" borderId="10"/>
    <xf numFmtId="0" fontId="45" fillId="58" borderId="22" applyNumberFormat="0" applyFont="0" applyAlignment="0" applyProtection="0">
      <alignment vertical="center"/>
    </xf>
    <xf numFmtId="177" fontId="17" fillId="0" borderId="10" applyNumberFormat="0"/>
    <xf numFmtId="0" fontId="50" fillId="1" borderId="16" applyNumberFormat="0" applyFont="0" applyAlignment="0">
      <alignment horizontal="center"/>
    </xf>
    <xf numFmtId="0" fontId="82" fillId="51" borderId="23" applyNumberFormat="0" applyAlignment="0" applyProtection="0">
      <alignment vertical="center"/>
    </xf>
    <xf numFmtId="37" fontId="11" fillId="0" borderId="10" applyFont="0" applyAlignment="0">
      <alignment horizontal="right" vertical="center"/>
    </xf>
    <xf numFmtId="0" fontId="81" fillId="38" borderId="11" applyNumberFormat="0" applyAlignment="0" applyProtection="0">
      <alignment vertical="center"/>
    </xf>
    <xf numFmtId="0" fontId="114" fillId="51" borderId="11" applyNumberFormat="0" applyAlignment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115" fillId="38" borderId="11" applyNumberFormat="0" applyAlignment="0" applyProtection="0">
      <alignment vertical="center"/>
    </xf>
    <xf numFmtId="177" fontId="17" fillId="0" borderId="10" applyNumberFormat="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0" fontId="35" fillId="56" borderId="10" applyNumberFormat="0" applyBorder="0" applyAlignment="0" applyProtection="0"/>
    <xf numFmtId="211" fontId="90" fillId="0" borderId="10" applyBorder="0"/>
    <xf numFmtId="0" fontId="35" fillId="0" borderId="10" applyNumberFormat="0" applyFill="0" applyBorder="0">
      <alignment horizontal="center" vertical="top" wrapText="1"/>
    </xf>
    <xf numFmtId="211" fontId="88" fillId="0" borderId="10"/>
    <xf numFmtId="0" fontId="55" fillId="0" borderId="10">
      <alignment horizontal="center"/>
    </xf>
    <xf numFmtId="0" fontId="35" fillId="53" borderId="10"/>
    <xf numFmtId="0" fontId="80" fillId="51" borderId="11" applyNumberFormat="0" applyAlignment="0" applyProtection="0">
      <alignment vertical="center"/>
    </xf>
    <xf numFmtId="289" fontId="159" fillId="59" borderId="10" applyFont="0" applyFill="0" applyBorder="0" applyAlignment="0">
      <alignment horizontal="center"/>
    </xf>
    <xf numFmtId="0" fontId="80" fillId="51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177" fontId="17" fillId="0" borderId="10" applyNumberFormat="0"/>
    <xf numFmtId="0" fontId="55" fillId="0" borderId="10">
      <alignment horizontal="center"/>
    </xf>
    <xf numFmtId="3" fontId="8" fillId="54" borderId="10" applyNumberFormat="0" applyFill="0" applyBorder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3" fontId="11" fillId="0" borderId="10" applyFont="0" applyAlignment="0">
      <alignment horizontal="right" vertical="center"/>
    </xf>
    <xf numFmtId="0" fontId="55" fillId="0" borderId="10">
      <alignment horizontal="center"/>
    </xf>
    <xf numFmtId="0" fontId="115" fillId="38" borderId="11" applyNumberFormat="0" applyAlignment="0" applyProtection="0">
      <alignment vertical="center"/>
    </xf>
    <xf numFmtId="177" fontId="17" fillId="0" borderId="10" applyNumberFormat="0"/>
    <xf numFmtId="177" fontId="17" fillId="0" borderId="10" applyNumberFormat="0"/>
    <xf numFmtId="0" fontId="180" fillId="0" borderId="20" applyNumberFormat="0" applyFill="0" applyAlignment="0" applyProtection="0">
      <alignment vertical="center"/>
    </xf>
    <xf numFmtId="0" fontId="114" fillId="51" borderId="11" applyNumberFormat="0" applyAlignment="0" applyProtection="0">
      <alignment vertical="center"/>
    </xf>
    <xf numFmtId="0" fontId="100" fillId="58" borderId="22" applyNumberFormat="0" applyFont="0" applyAlignment="0" applyProtection="0">
      <alignment vertical="center"/>
    </xf>
    <xf numFmtId="0" fontId="35" fillId="0" borderId="10" applyNumberFormat="0" applyFill="0" applyBorder="0">
      <alignment horizontal="left" vertical="top"/>
    </xf>
    <xf numFmtId="0" fontId="35" fillId="53" borderId="10"/>
    <xf numFmtId="177" fontId="17" fillId="0" borderId="10" applyNumberFormat="0"/>
    <xf numFmtId="3" fontId="8" fillId="54" borderId="10" applyNumberFormat="0" applyFill="0" applyBorder="0" applyAlignment="0" applyProtection="0"/>
    <xf numFmtId="0" fontId="79" fillId="0" borderId="26" applyNumberFormat="0" applyFill="0" applyAlignment="0" applyProtection="0">
      <alignment vertical="center"/>
    </xf>
    <xf numFmtId="0" fontId="55" fillId="0" borderId="10">
      <alignment horizontal="center"/>
    </xf>
    <xf numFmtId="0" fontId="50" fillId="1" borderId="16" applyNumberFormat="0" applyFont="0" applyAlignment="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177" fontId="17" fillId="0" borderId="10" applyNumberFormat="0"/>
    <xf numFmtId="0" fontId="100" fillId="58" borderId="22" applyNumberFormat="0" applyFon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55" fillId="0" borderId="10">
      <alignment horizontal="center"/>
    </xf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8" fillId="0" borderId="16">
      <alignment horizontal="left" vertical="center"/>
    </xf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289" fontId="159" fillId="59" borderId="10" applyFont="0" applyFill="0" applyBorder="0" applyAlignment="0">
      <alignment horizontal="center"/>
    </xf>
    <xf numFmtId="0" fontId="162" fillId="58" borderId="22" applyNumberFormat="0" applyFont="0" applyAlignment="0" applyProtection="0">
      <alignment vertical="center"/>
    </xf>
    <xf numFmtId="177" fontId="17" fillId="0" borderId="10" applyNumberFormat="0"/>
    <xf numFmtId="0" fontId="38" fillId="0" borderId="16">
      <alignment horizontal="left" vertical="center"/>
    </xf>
    <xf numFmtId="0" fontId="80" fillId="51" borderId="11" applyNumberFormat="0" applyAlignment="0" applyProtection="0">
      <alignment vertical="center"/>
    </xf>
    <xf numFmtId="0" fontId="50" fillId="1" borderId="16" applyNumberFormat="0" applyFont="0" applyAlignment="0">
      <alignment horizontal="center"/>
    </xf>
    <xf numFmtId="0" fontId="35" fillId="54" borderId="10"/>
    <xf numFmtId="0" fontId="50" fillId="1" borderId="16" applyNumberFormat="0" applyFont="0" applyAlignment="0">
      <alignment horizontal="center"/>
    </xf>
    <xf numFmtId="10" fontId="35" fillId="56" borderId="10" applyNumberFormat="0" applyBorder="0" applyAlignment="0" applyProtection="0"/>
    <xf numFmtId="0" fontId="50" fillId="1" borderId="16" applyNumberFormat="0" applyFont="0" applyAlignment="0">
      <alignment horizontal="center"/>
    </xf>
    <xf numFmtId="0" fontId="80" fillId="51" borderId="11" applyNumberFormat="0" applyAlignment="0" applyProtection="0">
      <alignment vertical="center"/>
    </xf>
    <xf numFmtId="0" fontId="50" fillId="1" borderId="16" applyNumberFormat="0" applyFont="0" applyAlignment="0">
      <alignment horizontal="center"/>
    </xf>
    <xf numFmtId="177" fontId="17" fillId="0" borderId="10" applyNumberFormat="0"/>
    <xf numFmtId="0" fontId="35" fillId="53" borderId="10"/>
    <xf numFmtId="0" fontId="38" fillId="0" borderId="16">
      <alignment horizontal="left"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0" fontId="55" fillId="0" borderId="10">
      <alignment horizontal="center"/>
    </xf>
    <xf numFmtId="3" fontId="11" fillId="0" borderId="10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211" fontId="90" fillId="0" borderId="10" applyBorder="0"/>
    <xf numFmtId="177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81" fillId="38" borderId="11" applyNumberFormat="0" applyAlignment="0" applyProtection="0">
      <alignment vertical="center"/>
    </xf>
    <xf numFmtId="0" fontId="50" fillId="1" borderId="16" applyNumberFormat="0" applyFont="0" applyAlignment="0">
      <alignment horizontal="center"/>
    </xf>
    <xf numFmtId="177" fontId="17" fillId="0" borderId="10" applyNumberFormat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8" fillId="0" borderId="16">
      <alignment horizontal="lef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10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37" fontId="11" fillId="0" borderId="10" applyFont="0" applyAlignment="0">
      <alignment horizontal="right" vertical="center"/>
    </xf>
    <xf numFmtId="0" fontId="55" fillId="0" borderId="10">
      <alignment horizontal="center"/>
    </xf>
    <xf numFmtId="211" fontId="88" fillId="0" borderId="10"/>
    <xf numFmtId="177" fontId="17" fillId="0" borderId="10" applyNumberFormat="0"/>
    <xf numFmtId="10" fontId="35" fillId="56" borderId="10" applyNumberFormat="0" applyBorder="0" applyAlignment="0" applyProtection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79" fillId="0" borderId="26" applyNumberFormat="0" applyFill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114" fillId="51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79" fillId="0" borderId="26" applyNumberFormat="0" applyFill="0" applyAlignment="0" applyProtection="0">
      <alignment vertical="center"/>
    </xf>
    <xf numFmtId="0" fontId="35" fillId="53" borderId="10"/>
    <xf numFmtId="0" fontId="55" fillId="0" borderId="10">
      <alignment horizont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0" fontId="113" fillId="0" borderId="26" applyNumberFormat="0" applyFill="0" applyAlignment="0" applyProtection="0">
      <alignment vertical="center"/>
    </xf>
    <xf numFmtId="177" fontId="17" fillId="0" borderId="10" applyNumberFormat="0"/>
    <xf numFmtId="177" fontId="17" fillId="0" borderId="10" applyNumberFormat="0"/>
    <xf numFmtId="0" fontId="82" fillId="51" borderId="23" applyNumberFormat="0" applyAlignment="0" applyProtection="0">
      <alignment vertical="center"/>
    </xf>
    <xf numFmtId="0" fontId="55" fillId="0" borderId="10">
      <alignment horizontal="center"/>
    </xf>
    <xf numFmtId="0" fontId="100" fillId="58" borderId="22" applyNumberFormat="0" applyFon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55" fillId="0" borderId="10">
      <alignment horizontal="center"/>
    </xf>
    <xf numFmtId="177" fontId="17" fillId="0" borderId="10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211" fontId="90" fillId="0" borderId="10" applyBorder="0"/>
    <xf numFmtId="211" fontId="88" fillId="0" borderId="10"/>
    <xf numFmtId="3" fontId="8" fillId="54" borderId="10" applyNumberFormat="0" applyFill="0" applyBorder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0" fontId="82" fillId="51" borderId="23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289" fontId="159" fillId="59" borderId="10" applyFont="0" applyFill="0" applyBorder="0" applyAlignment="0">
      <alignment horizontal="center"/>
    </xf>
    <xf numFmtId="0" fontId="162" fillId="58" borderId="22" applyNumberFormat="0" applyFont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81" fillId="38" borderId="11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45" fillId="58" borderId="22" applyNumberFormat="0" applyFon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10" applyNumberFormat="0"/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3" fontId="11" fillId="0" borderId="10" applyFont="0" applyAlignment="0">
      <alignment horizontal="right" vertical="center"/>
    </xf>
    <xf numFmtId="10" fontId="35" fillId="56" borderId="10" applyNumberFormat="0" applyBorder="0" applyAlignment="0" applyProtection="0"/>
    <xf numFmtId="0" fontId="55" fillId="0" borderId="10">
      <alignment horizontal="center"/>
    </xf>
    <xf numFmtId="10" fontId="35" fillId="56" borderId="10" applyNumberFormat="0" applyBorder="0" applyAlignment="0" applyProtection="0"/>
    <xf numFmtId="0" fontId="45" fillId="58" borderId="22" applyNumberFormat="0" applyFont="0" applyAlignment="0" applyProtection="0">
      <alignment vertical="center"/>
    </xf>
    <xf numFmtId="10" fontId="35" fillId="56" borderId="10" applyNumberFormat="0" applyBorder="0" applyAlignment="0" applyProtection="0"/>
    <xf numFmtId="177" fontId="17" fillId="0" borderId="10" applyNumberFormat="0"/>
    <xf numFmtId="0" fontId="35" fillId="53" borderId="10"/>
    <xf numFmtId="0" fontId="35" fillId="54" borderId="10"/>
    <xf numFmtId="177" fontId="17" fillId="0" borderId="10" applyNumberFormat="0"/>
    <xf numFmtId="0" fontId="35" fillId="53" borderId="10"/>
    <xf numFmtId="0" fontId="162" fillId="58" borderId="22" applyNumberFormat="0" applyFont="0" applyAlignment="0" applyProtection="0">
      <alignment vertical="center"/>
    </xf>
    <xf numFmtId="177" fontId="17" fillId="0" borderId="10" applyNumberFormat="0"/>
    <xf numFmtId="177" fontId="17" fillId="0" borderId="10" applyNumberFormat="0"/>
    <xf numFmtId="0" fontId="35" fillId="0" borderId="10" applyNumberFormat="0" applyFill="0" applyBorder="0">
      <alignment horizontal="left" vertical="top"/>
    </xf>
    <xf numFmtId="10" fontId="35" fillId="56" borderId="10" applyNumberFormat="0" applyBorder="0" applyAlignment="0" applyProtection="0"/>
    <xf numFmtId="0" fontId="55" fillId="0" borderId="10">
      <alignment horizontal="center"/>
    </xf>
    <xf numFmtId="0" fontId="38" fillId="0" borderId="16">
      <alignment horizontal="left" vertical="center"/>
    </xf>
    <xf numFmtId="0" fontId="182" fillId="0" borderId="26" applyNumberFormat="0" applyFill="0" applyAlignment="0" applyProtection="0">
      <alignment vertical="center"/>
    </xf>
    <xf numFmtId="0" fontId="55" fillId="0" borderId="10">
      <alignment horizontal="center"/>
    </xf>
    <xf numFmtId="10" fontId="35" fillId="56" borderId="10" applyNumberFormat="0" applyBorder="0" applyAlignment="0" applyProtection="0"/>
    <xf numFmtId="0" fontId="35" fillId="54" borderId="10"/>
    <xf numFmtId="0" fontId="55" fillId="0" borderId="10">
      <alignment horizont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177" fontId="17" fillId="0" borderId="10" applyNumberFormat="0"/>
    <xf numFmtId="0" fontId="38" fillId="0" borderId="16">
      <alignment horizontal="left" vertical="center"/>
    </xf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37" fontId="11" fillId="0" borderId="10" applyFont="0" applyAlignment="0">
      <alignment horizontal="right" vertical="center"/>
    </xf>
    <xf numFmtId="0" fontId="180" fillId="0" borderId="20" applyNumberFormat="0" applyFill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0" fontId="162" fillId="58" borderId="22" applyNumberFormat="0" applyFont="0" applyAlignment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55" fillId="0" borderId="10">
      <alignment horizontal="center"/>
    </xf>
    <xf numFmtId="0" fontId="55" fillId="0" borderId="10">
      <alignment horizontal="center"/>
    </xf>
    <xf numFmtId="0" fontId="35" fillId="53" borderId="10"/>
    <xf numFmtId="0" fontId="100" fillId="58" borderId="22" applyNumberFormat="0" applyFont="0" applyAlignment="0" applyProtection="0">
      <alignment vertical="center"/>
    </xf>
    <xf numFmtId="0" fontId="38" fillId="0" borderId="16">
      <alignment horizontal="left" vertical="center"/>
    </xf>
    <xf numFmtId="0" fontId="45" fillId="58" borderId="22" applyNumberFormat="0" applyFont="0" applyAlignment="0" applyProtection="0">
      <alignment vertical="center"/>
    </xf>
    <xf numFmtId="0" fontId="35" fillId="54" borderId="10"/>
    <xf numFmtId="0" fontId="82" fillId="51" borderId="23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35" fillId="53" borderId="10"/>
    <xf numFmtId="37" fontId="11" fillId="0" borderId="10" applyFont="0" applyAlignment="0">
      <alignment horizontal="right" vertical="center"/>
    </xf>
    <xf numFmtId="0" fontId="116" fillId="51" borderId="23" applyNumberFormat="0" applyAlignment="0" applyProtection="0">
      <alignment vertical="center"/>
    </xf>
    <xf numFmtId="0" fontId="183" fillId="51" borderId="11" applyNumberFormat="0" applyAlignment="0" applyProtection="0">
      <alignment vertical="center"/>
    </xf>
    <xf numFmtId="177" fontId="17" fillId="0" borderId="10" applyNumberFormat="0"/>
    <xf numFmtId="0" fontId="50" fillId="1" borderId="16" applyNumberFormat="0" applyFont="0" applyAlignment="0">
      <alignment horizontal="center"/>
    </xf>
    <xf numFmtId="0" fontId="80" fillId="51" borderId="11" applyNumberFormat="0" applyAlignment="0" applyProtection="0">
      <alignment vertical="center"/>
    </xf>
    <xf numFmtId="0" fontId="55" fillId="0" borderId="10">
      <alignment horizontal="center"/>
    </xf>
    <xf numFmtId="0" fontId="82" fillId="51" borderId="23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100" fillId="58" borderId="22" applyNumberFormat="0" applyFon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55" fillId="0" borderId="10">
      <alignment horizontal="center"/>
    </xf>
    <xf numFmtId="0" fontId="169" fillId="38" borderId="11" applyNumberFormat="0" applyAlignment="0" applyProtection="0">
      <alignment vertical="center"/>
    </xf>
    <xf numFmtId="0" fontId="55" fillId="0" borderId="10">
      <alignment horizontal="center"/>
    </xf>
    <xf numFmtId="0" fontId="162" fillId="58" borderId="22" applyNumberFormat="0" applyFon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0" fontId="50" fillId="1" borderId="16" applyNumberFormat="0" applyFont="0" applyAlignment="0">
      <alignment horizontal="center"/>
    </xf>
    <xf numFmtId="0" fontId="162" fillId="58" borderId="22" applyNumberFormat="0" applyFont="0" applyAlignment="0" applyProtection="0">
      <alignment vertical="center"/>
    </xf>
    <xf numFmtId="0" fontId="115" fillId="38" borderId="11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17" fillId="0" borderId="10" applyNumberFormat="0"/>
    <xf numFmtId="177" fontId="17" fillId="0" borderId="10" applyNumberFormat="0"/>
    <xf numFmtId="0" fontId="35" fillId="53" borderId="10"/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182" fillId="0" borderId="26" applyNumberFormat="0" applyFill="0" applyAlignment="0" applyProtection="0">
      <alignment vertical="center"/>
    </xf>
    <xf numFmtId="289" fontId="159" fillId="59" borderId="10" applyFont="0" applyFill="0" applyBorder="0" applyAlignment="0">
      <alignment horizontal="center"/>
    </xf>
    <xf numFmtId="0" fontId="79" fillId="0" borderId="26" applyNumberFormat="0" applyFill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5" fillId="54" borderId="10"/>
    <xf numFmtId="0" fontId="162" fillId="58" borderId="22" applyNumberFormat="0" applyFont="0" applyAlignment="0" applyProtection="0">
      <alignment vertical="center"/>
    </xf>
    <xf numFmtId="0" fontId="55" fillId="0" borderId="10">
      <alignment horizontal="center"/>
    </xf>
    <xf numFmtId="0" fontId="183" fillId="51" borderId="11" applyNumberFormat="0" applyAlignment="0" applyProtection="0">
      <alignment vertical="center"/>
    </xf>
    <xf numFmtId="0" fontId="100" fillId="58" borderId="22" applyNumberFormat="0" applyFont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3" fontId="11" fillId="0" borderId="10" applyFont="0" applyAlignment="0">
      <alignment horizontal="right"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45" fillId="58" borderId="22" applyNumberFormat="0" applyFont="0" applyAlignment="0" applyProtection="0">
      <alignment vertical="center"/>
    </xf>
    <xf numFmtId="37" fontId="11" fillId="0" borderId="10" applyFont="0" applyAlignment="0">
      <alignment horizontal="right" vertical="center"/>
    </xf>
    <xf numFmtId="0" fontId="50" fillId="1" borderId="16" applyNumberFormat="0" applyFont="0" applyAlignment="0">
      <alignment horizontal="center"/>
    </xf>
    <xf numFmtId="0" fontId="50" fillId="1" borderId="16" applyNumberFormat="0" applyFont="0" applyAlignment="0">
      <alignment horizontal="center"/>
    </xf>
    <xf numFmtId="177" fontId="17" fillId="0" borderId="10" applyNumberFormat="0"/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177" fontId="17" fillId="0" borderId="10" applyNumberFormat="0"/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0" fontId="35" fillId="53" borderId="10"/>
    <xf numFmtId="0" fontId="35" fillId="54" borderId="10"/>
    <xf numFmtId="0" fontId="82" fillId="51" borderId="23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116" fillId="51" borderId="23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115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0" fontId="116" fillId="51" borderId="23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177" fontId="17" fillId="0" borderId="10" applyNumberFormat="0"/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0" fontId="170" fillId="51" borderId="23" applyNumberFormat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82" fillId="51" borderId="23" applyNumberFormat="0" applyAlignment="0" applyProtection="0">
      <alignment vertical="center"/>
    </xf>
    <xf numFmtId="10" fontId="35" fillId="56" borderId="10" applyNumberFormat="0" applyBorder="0" applyAlignment="0" applyProtection="0"/>
    <xf numFmtId="0" fontId="82" fillId="51" borderId="23" applyNumberFormat="0" applyAlignment="0" applyProtection="0">
      <alignment vertical="center"/>
    </xf>
    <xf numFmtId="0" fontId="55" fillId="0" borderId="10">
      <alignment horizontal="center"/>
    </xf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55" fillId="0" borderId="10">
      <alignment horizont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0" fontId="4" fillId="0" borderId="0">
      <alignment vertic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5" fillId="53" borderId="10"/>
    <xf numFmtId="10" fontId="35" fillId="56" borderId="10" applyNumberFormat="0" applyBorder="0" applyAlignment="0" applyProtection="0"/>
    <xf numFmtId="0" fontId="35" fillId="54" borderId="10"/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77" fillId="0" borderId="20" applyNumberFormat="0" applyFill="0" applyAlignment="0" applyProtection="0">
      <alignment vertical="center"/>
    </xf>
    <xf numFmtId="177" fontId="17" fillId="0" borderId="10" applyNumberFormat="0"/>
    <xf numFmtId="0" fontId="27" fillId="0" borderId="13" applyNumberFormat="0" applyFill="0" applyProtection="0">
      <alignment horizontal="center"/>
    </xf>
    <xf numFmtId="0" fontId="77" fillId="0" borderId="20" applyNumberFormat="0" applyFill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/>
    <xf numFmtId="0" fontId="111" fillId="0" borderId="20" applyNumberFormat="0" applyFill="0" applyAlignment="0" applyProtection="0">
      <alignment vertical="center"/>
    </xf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10" applyNumberFormat="0"/>
    <xf numFmtId="176" fontId="3" fillId="0" borderId="0" applyFont="0" applyFill="0" applyBorder="0" applyAlignment="0" applyProtection="0">
      <alignment vertical="center"/>
    </xf>
    <xf numFmtId="182" fontId="17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17" fillId="0" borderId="10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0" fontId="180" fillId="0" borderId="20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7" fillId="0" borderId="13" applyNumberFormat="0" applyFill="0" applyProtection="0">
      <alignment horizont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17" fillId="0" borderId="10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17" fillId="0" borderId="10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0" fontId="37" fillId="0" borderId="13" applyNumberFormat="0" applyFill="0" applyBorder="0" applyAlignment="0" applyProtection="0"/>
    <xf numFmtId="0" fontId="26" fillId="0" borderId="13" applyNumberFormat="0" applyFill="0" applyBorder="0" applyAlignment="0" applyProtection="0"/>
    <xf numFmtId="0" fontId="156" fillId="0" borderId="13" applyNumberFormat="0" applyFill="0" applyBorder="0" applyAlignment="0" applyProtection="0"/>
    <xf numFmtId="0" fontId="85" fillId="0" borderId="13" applyNumberFormat="0" applyFill="0" applyBorder="0"/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/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177" fontId="17" fillId="0" borderId="10" applyNumberFormat="0"/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38" fillId="0" borderId="16">
      <alignment horizontal="left" vertical="center"/>
    </xf>
    <xf numFmtId="177" fontId="17" fillId="0" borderId="0" applyFont="0" applyFill="0" applyBorder="0" applyAlignment="0" applyProtection="0"/>
    <xf numFmtId="0" fontId="55" fillId="0" borderId="10">
      <alignment horizontal="center"/>
    </xf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45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55" fillId="0" borderId="10">
      <alignment horizont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0" fontId="77" fillId="0" borderId="20" applyNumberFormat="0" applyFill="0" applyAlignment="0" applyProtection="0">
      <alignment vertical="center"/>
    </xf>
    <xf numFmtId="177" fontId="17" fillId="0" borderId="10" applyNumberFormat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81" fillId="38" borderId="11" applyNumberFormat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0" fontId="115" fillId="38" borderId="11" applyNumberForma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14" fillId="51" borderId="11" applyNumberFormat="0" applyAlignment="0" applyProtection="0">
      <alignment vertical="center"/>
    </xf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55" fillId="0" borderId="10">
      <alignment horizontal="center"/>
    </xf>
    <xf numFmtId="0" fontId="81" fillId="38" borderId="11" applyNumberFormat="0" applyAlignment="0" applyProtection="0">
      <alignment vertic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177" fontId="91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0" applyFont="0" applyFill="0" applyBorder="0" applyAlignment="0" applyProtection="0"/>
    <xf numFmtId="0" fontId="116" fillId="51" borderId="23" applyNumberFormat="0" applyAlignment="0" applyProtection="0">
      <alignment vertical="center"/>
    </xf>
    <xf numFmtId="177" fontId="17" fillId="0" borderId="10" applyNumberFormat="0"/>
    <xf numFmtId="176" fontId="3" fillId="0" borderId="0" applyFont="0" applyFill="0" applyBorder="0" applyAlignment="0" applyProtection="0">
      <alignment vertical="center"/>
    </xf>
    <xf numFmtId="182" fontId="17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55" fillId="0" borderId="10">
      <alignment horizontal="center"/>
    </xf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7" fontId="17" fillId="0" borderId="10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0" fontId="39" fillId="0" borderId="28" applyNumberFormat="0" applyFill="0">
      <alignment horizontal="left"/>
    </xf>
    <xf numFmtId="211" fontId="90" fillId="0" borderId="10" applyBorder="0"/>
    <xf numFmtId="211" fontId="88" fillId="0" borderId="10"/>
    <xf numFmtId="3" fontId="8" fillId="54" borderId="10" applyNumberFormat="0" applyFill="0" applyBorder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0" fontId="50" fillId="1" borderId="16" applyNumberFormat="0" applyFont="0" applyAlignment="0">
      <alignment horizontal="center"/>
    </xf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289" fontId="159" fillId="59" borderId="10" applyFont="0" applyFill="0" applyBorder="0" applyAlignment="0">
      <alignment horizontal="center"/>
    </xf>
    <xf numFmtId="0" fontId="180" fillId="0" borderId="20" applyNumberFormat="0" applyFill="0" applyAlignment="0" applyProtection="0">
      <alignment vertic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177" fontId="17" fillId="0" borderId="10" applyNumberFormat="0"/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82" fillId="51" borderId="23" applyNumberFormat="0" applyAlignment="0" applyProtection="0">
      <alignment vertical="center"/>
    </xf>
    <xf numFmtId="177" fontId="17" fillId="0" borderId="10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116" fillId="51" borderId="23" applyNumberFormat="0" applyAlignment="0" applyProtection="0">
      <alignment vertical="center"/>
    </xf>
    <xf numFmtId="177" fontId="17" fillId="0" borderId="10" applyNumberFormat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55" fillId="0" borderId="10">
      <alignment horizontal="center"/>
    </xf>
    <xf numFmtId="0" fontId="82" fillId="51" borderId="23" applyNumberFormat="0" applyAlignment="0" applyProtection="0">
      <alignment vertic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177" fontId="17" fillId="0" borderId="10" applyNumberFormat="0"/>
    <xf numFmtId="0" fontId="116" fillId="51" borderId="23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55" fillId="0" borderId="10">
      <alignment horizontal="center"/>
    </xf>
    <xf numFmtId="0" fontId="82" fillId="51" borderId="23" applyNumberFormat="0" applyAlignment="0" applyProtection="0">
      <alignment vertical="center"/>
    </xf>
    <xf numFmtId="177" fontId="17" fillId="0" borderId="10" applyNumberFormat="0"/>
    <xf numFmtId="177" fontId="8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211" fontId="90" fillId="0" borderId="10" applyBorder="0"/>
    <xf numFmtId="211" fontId="88" fillId="0" borderId="10"/>
    <xf numFmtId="3" fontId="8" fillId="54" borderId="10" applyNumberFormat="0" applyFill="0" applyBorder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177" fontId="127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0" applyFill="0" applyBorder="0" applyAlignment="0" applyProtection="0"/>
    <xf numFmtId="177" fontId="127" fillId="0" borderId="0" applyFont="0" applyFill="0" applyBorder="0" applyAlignment="0" applyProtection="0">
      <alignment vertical="center"/>
    </xf>
    <xf numFmtId="289" fontId="159" fillId="59" borderId="10" applyFont="0" applyFill="0" applyBorder="0" applyAlignment="0">
      <alignment horizontal="center"/>
    </xf>
    <xf numFmtId="0" fontId="183" fillId="51" borderId="11" applyNumberFormat="0" applyAlignment="0" applyProtection="0">
      <alignment vertical="center"/>
    </xf>
    <xf numFmtId="0" fontId="169" fillId="38" borderId="11" applyNumberFormat="0" applyAlignment="0" applyProtection="0">
      <alignment vertical="center"/>
    </xf>
    <xf numFmtId="0" fontId="170" fillId="51" borderId="23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8" fillId="0" borderId="0" applyNumberFormat="0" applyFill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177" fontId="17" fillId="0" borderId="0" applyFont="0" applyFill="0" applyBorder="0" applyAlignment="0" applyProtection="0"/>
    <xf numFmtId="177" fontId="17" fillId="0" borderId="10" applyNumberFormat="0"/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177" fontId="3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7" fillId="0" borderId="10" applyNumberFormat="0"/>
    <xf numFmtId="177" fontId="9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221" fontId="4" fillId="0" borderId="0" applyFon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82" fillId="51" borderId="23" applyNumberFormat="0" applyAlignment="0" applyProtection="0">
      <alignment vertical="center"/>
    </xf>
    <xf numFmtId="3" fontId="11" fillId="0" borderId="10" applyFont="0" applyAlignment="0">
      <alignment horizontal="right" vertical="center"/>
    </xf>
    <xf numFmtId="37" fontId="11" fillId="0" borderId="10" applyFont="0" applyAlignment="0">
      <alignment horizontal="right" vertical="center"/>
    </xf>
    <xf numFmtId="0" fontId="80" fillId="51" borderId="11" applyNumberFormat="0" applyAlignment="0" applyProtection="0">
      <alignment vertical="center"/>
    </xf>
    <xf numFmtId="177" fontId="17" fillId="0" borderId="10" applyNumberFormat="0"/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0" fontId="180" fillId="0" borderId="20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0" fillId="58" borderId="43" applyNumberFormat="0" applyFont="0" applyAlignment="0" applyProtection="0">
      <alignment vertical="center"/>
    </xf>
    <xf numFmtId="0" fontId="115" fillId="38" borderId="42" applyNumberForma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114" fillId="51" borderId="42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115" fillId="38" borderId="42" applyNumberForma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114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0" fontId="81" fillId="38" borderId="42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182" fontId="3" fillId="0" borderId="0" applyFont="0" applyFill="0" applyBorder="0" applyAlignment="0" applyProtection="0">
      <alignment vertical="center"/>
    </xf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55" fillId="0" borderId="46">
      <alignment horizontal="center"/>
    </xf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177" fontId="17" fillId="0" borderId="46" applyNumberFormat="0"/>
    <xf numFmtId="211" fontId="90" fillId="0" borderId="46" applyBorder="0"/>
    <xf numFmtId="211" fontId="88" fillId="0" borderId="46"/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289" fontId="159" fillId="59" borderId="46" applyFont="0" applyFill="0" applyBorder="0" applyAlignment="0">
      <alignment horizontal="center"/>
    </xf>
    <xf numFmtId="0" fontId="162" fillId="58" borderId="43" applyNumberFormat="0" applyFon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0" fontId="100" fillId="58" borderId="43" applyNumberFormat="0" applyFon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55" fillId="0" borderId="46">
      <alignment horizontal="center"/>
    </xf>
    <xf numFmtId="0" fontId="79" fillId="0" borderId="45" applyNumberFormat="0" applyFill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211" fontId="90" fillId="0" borderId="46" applyBorder="0"/>
    <xf numFmtId="211" fontId="88" fillId="0" borderId="46"/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289" fontId="159" fillId="59" borderId="46" applyFont="0" applyFill="0" applyBorder="0" applyAlignment="0">
      <alignment horizontal="center"/>
    </xf>
    <xf numFmtId="0" fontId="162" fillId="58" borderId="43" applyNumberFormat="0" applyFon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177" fontId="17" fillId="0" borderId="46" applyNumberFormat="0"/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177" fontId="17" fillId="0" borderId="46" applyNumberFormat="0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0" fontId="81" fillId="38" borderId="42" applyNumberFormat="0" applyAlignment="0" applyProtection="0">
      <alignment vertical="center"/>
    </xf>
    <xf numFmtId="177" fontId="17" fillId="0" borderId="46" applyNumberFormat="0"/>
    <xf numFmtId="0" fontId="169" fillId="38" borderId="42" applyNumberFormat="0" applyAlignment="0" applyProtection="0">
      <alignment vertical="center"/>
    </xf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0" fontId="35" fillId="54" borderId="46"/>
    <xf numFmtId="0" fontId="100" fillId="58" borderId="43" applyNumberFormat="0" applyFont="0" applyAlignment="0" applyProtection="0">
      <alignment vertical="center"/>
    </xf>
    <xf numFmtId="0" fontId="35" fillId="53" borderId="46"/>
    <xf numFmtId="177" fontId="17" fillId="0" borderId="46" applyNumberFormat="0"/>
    <xf numFmtId="0" fontId="82" fillId="51" borderId="44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0" fontId="81" fillId="38" borderId="42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35" fillId="53" borderId="46"/>
    <xf numFmtId="10" fontId="35" fillId="56" borderId="46" applyNumberFormat="0" applyBorder="0" applyAlignment="0" applyProtection="0"/>
    <xf numFmtId="0" fontId="55" fillId="0" borderId="46">
      <alignment horizontal="center"/>
    </xf>
    <xf numFmtId="0" fontId="35" fillId="0" borderId="46" applyNumberFormat="0" applyFill="0" applyBorder="0">
      <alignment horizontal="left" vertical="top"/>
    </xf>
    <xf numFmtId="177" fontId="17" fillId="0" borderId="46" applyNumberFormat="0"/>
    <xf numFmtId="3" fontId="11" fillId="0" borderId="46" applyFont="0" applyAlignment="0">
      <alignment horizontal="right" vertical="center"/>
    </xf>
    <xf numFmtId="211" fontId="88" fillId="0" borderId="46"/>
    <xf numFmtId="0" fontId="116" fillId="51" borderId="44" applyNumberFormat="0" applyAlignment="0" applyProtection="0">
      <alignment vertical="center"/>
    </xf>
    <xf numFmtId="0" fontId="100" fillId="58" borderId="43" applyNumberFormat="0" applyFont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55" fillId="0" borderId="46">
      <alignment horizontal="center"/>
    </xf>
    <xf numFmtId="0" fontId="80" fillId="51" borderId="42" applyNumberFormat="0" applyAlignment="0" applyProtection="0">
      <alignment vertical="center"/>
    </xf>
    <xf numFmtId="37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35" fillId="0" borderId="46" applyNumberFormat="0" applyFill="0" applyBorder="0">
      <alignment horizontal="center" vertical="top" wrapText="1"/>
    </xf>
    <xf numFmtId="0" fontId="45" fillId="58" borderId="43" applyNumberFormat="0" applyFont="0" applyAlignment="0" applyProtection="0">
      <alignment vertical="center"/>
    </xf>
    <xf numFmtId="37" fontId="11" fillId="0" borderId="46" applyFont="0" applyAlignment="0">
      <alignment horizontal="right" vertical="center"/>
    </xf>
    <xf numFmtId="0" fontId="116" fillId="51" borderId="44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0" fontId="81" fillId="38" borderId="42" applyNumberFormat="0" applyAlignment="0" applyProtection="0">
      <alignment vertical="center"/>
    </xf>
    <xf numFmtId="0" fontId="35" fillId="0" borderId="46" applyNumberFormat="0" applyFill="0" applyBorder="0">
      <alignment horizontal="center" vertical="top" wrapText="1"/>
    </xf>
    <xf numFmtId="0" fontId="55" fillId="0" borderId="46">
      <alignment horizontal="center"/>
    </xf>
    <xf numFmtId="0" fontId="55" fillId="0" borderId="46">
      <alignment horizontal="center"/>
    </xf>
    <xf numFmtId="0" fontId="38" fillId="0" borderId="47">
      <alignment horizontal="left" vertical="center"/>
    </xf>
    <xf numFmtId="37" fontId="11" fillId="0" borderId="46" applyFont="0" applyAlignment="0">
      <alignment horizontal="right" vertical="center"/>
    </xf>
    <xf numFmtId="10" fontId="35" fillId="56" borderId="46" applyNumberFormat="0" applyBorder="0" applyAlignment="0" applyProtection="0"/>
    <xf numFmtId="177" fontId="17" fillId="0" borderId="46" applyNumberFormat="0"/>
    <xf numFmtId="0" fontId="116" fillId="51" borderId="44" applyNumberFormat="0" applyAlignment="0" applyProtection="0">
      <alignment vertical="center"/>
    </xf>
    <xf numFmtId="0" fontId="115" fillId="38" borderId="42" applyNumberFormat="0" applyAlignment="0" applyProtection="0">
      <alignment vertical="center"/>
    </xf>
    <xf numFmtId="0" fontId="55" fillId="0" borderId="46">
      <alignment horizontal="center"/>
    </xf>
    <xf numFmtId="0" fontId="55" fillId="0" borderId="46">
      <alignment horizontal="center"/>
    </xf>
    <xf numFmtId="0" fontId="170" fillId="51" borderId="44" applyNumberFormat="0" applyAlignment="0" applyProtection="0">
      <alignment vertical="center"/>
    </xf>
    <xf numFmtId="0" fontId="35" fillId="53" borderId="46"/>
    <xf numFmtId="0" fontId="79" fillId="0" borderId="45" applyNumberFormat="0" applyFill="0" applyAlignment="0" applyProtection="0">
      <alignment vertical="center"/>
    </xf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10" fontId="35" fillId="56" borderId="46" applyNumberFormat="0" applyBorder="0" applyAlignment="0" applyProtection="0"/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114" fillId="51" borderId="42" applyNumberFormat="0" applyAlignment="0" applyProtection="0">
      <alignment vertical="center"/>
    </xf>
    <xf numFmtId="0" fontId="162" fillId="58" borderId="43" applyNumberFormat="0" applyFon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37" fontId="11" fillId="0" borderId="46" applyFont="0" applyAlignment="0">
      <alignment horizontal="right" vertical="center"/>
    </xf>
    <xf numFmtId="0" fontId="55" fillId="0" borderId="46">
      <alignment horizontal="center"/>
    </xf>
    <xf numFmtId="0" fontId="79" fillId="0" borderId="45" applyNumberFormat="0" applyFill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0" fontId="35" fillId="54" borderId="46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10" fontId="35" fillId="56" borderId="46" applyNumberFormat="0" applyBorder="0" applyAlignment="0" applyProtection="0"/>
    <xf numFmtId="0" fontId="116" fillId="51" borderId="44" applyNumberFormat="0" applyAlignment="0" applyProtection="0">
      <alignment vertical="center"/>
    </xf>
    <xf numFmtId="211" fontId="90" fillId="0" borderId="46" applyBorder="0"/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0" fontId="81" fillId="38" borderId="42" applyNumberFormat="0" applyAlignment="0" applyProtection="0">
      <alignment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289" fontId="159" fillId="59" borderId="46" applyFont="0" applyFill="0" applyBorder="0" applyAlignment="0">
      <alignment horizontal="center"/>
    </xf>
    <xf numFmtId="0" fontId="81" fillId="38" borderId="42" applyNumberFormat="0" applyAlignment="0" applyProtection="0">
      <alignment vertical="center"/>
    </xf>
    <xf numFmtId="0" fontId="115" fillId="38" borderId="42" applyNumberForma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169" fillId="38" borderId="42" applyNumberFormat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55" fillId="0" borderId="46">
      <alignment horizontal="center"/>
    </xf>
    <xf numFmtId="0" fontId="55" fillId="0" borderId="46">
      <alignment horizontal="center"/>
    </xf>
    <xf numFmtId="0" fontId="79" fillId="0" borderId="45" applyNumberFormat="0" applyFill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00" fillId="58" borderId="43" applyNumberFormat="0" applyFont="0" applyAlignment="0" applyProtection="0">
      <alignment vertical="center"/>
    </xf>
    <xf numFmtId="10" fontId="35" fillId="56" borderId="46" applyNumberFormat="0" applyBorder="0" applyAlignment="0" applyProtection="0"/>
    <xf numFmtId="3" fontId="8" fillId="54" borderId="46" applyNumberFormat="0" applyFill="0" applyBorder="0" applyAlignment="0" applyProtection="0"/>
    <xf numFmtId="0" fontId="115" fillId="38" borderId="42" applyNumberForma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35" fillId="53" borderId="46"/>
    <xf numFmtId="0" fontId="113" fillId="0" borderId="45" applyNumberFormat="0" applyFill="0" applyAlignment="0" applyProtection="0">
      <alignment vertical="center"/>
    </xf>
    <xf numFmtId="0" fontId="114" fillId="51" borderId="42" applyNumberFormat="0" applyAlignment="0" applyProtection="0">
      <alignment vertic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177" fontId="17" fillId="0" borderId="46" applyNumberFormat="0"/>
    <xf numFmtId="0" fontId="55" fillId="0" borderId="46">
      <alignment horizontal="center"/>
    </xf>
    <xf numFmtId="0" fontId="55" fillId="0" borderId="46">
      <alignment horizontal="center"/>
    </xf>
    <xf numFmtId="0" fontId="114" fillId="51" borderId="42" applyNumberFormat="0" applyAlignment="0" applyProtection="0">
      <alignment vertical="center"/>
    </xf>
    <xf numFmtId="3" fontId="8" fillId="54" borderId="46" applyNumberFormat="0" applyFill="0" applyBorder="0" applyAlignment="0" applyProtection="0"/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0" fontId="80" fillId="51" borderId="42" applyNumberFormat="0" applyAlignment="0" applyProtection="0">
      <alignment vertical="center"/>
    </xf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0" fontId="35" fillId="54" borderId="46"/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35" fillId="54" borderId="46"/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162" fillId="58" borderId="43" applyNumberFormat="0" applyFont="0" applyAlignment="0" applyProtection="0">
      <alignment vertical="center"/>
    </xf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77" fontId="17" fillId="0" borderId="46" applyNumberFormat="0"/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100" fillId="58" borderId="43" applyNumberFormat="0" applyFont="0" applyAlignment="0" applyProtection="0">
      <alignment vertical="center"/>
    </xf>
    <xf numFmtId="211" fontId="90" fillId="0" borderId="46" applyBorder="0"/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45" fillId="58" borderId="43" applyNumberFormat="0" applyFon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0" fontId="81" fillId="38" borderId="42" applyNumberFormat="0" applyAlignment="0" applyProtection="0">
      <alignment vertical="center"/>
    </xf>
    <xf numFmtId="0" fontId="114" fillId="51" borderId="42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115" fillId="38" borderId="42" applyNumberForma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114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0" fontId="81" fillId="38" borderId="42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116" fillId="51" borderId="44" applyNumberFormat="0" applyAlignment="0" applyProtection="0">
      <alignment vertical="center"/>
    </xf>
    <xf numFmtId="177" fontId="17" fillId="0" borderId="46" applyNumberFormat="0"/>
    <xf numFmtId="10" fontId="35" fillId="56" borderId="46" applyNumberFormat="0" applyBorder="0" applyAlignment="0" applyProtection="0"/>
    <xf numFmtId="0" fontId="35" fillId="53" borderId="46"/>
    <xf numFmtId="37" fontId="11" fillId="0" borderId="46" applyFont="0" applyAlignment="0">
      <alignment horizontal="right" vertic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55" fillId="0" borderId="46">
      <alignment horizontal="center"/>
    </xf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0" fontId="35" fillId="54" borderId="46"/>
    <xf numFmtId="0" fontId="45" fillId="58" borderId="43" applyNumberFormat="0" applyFon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211" fontId="88" fillId="0" borderId="46"/>
    <xf numFmtId="289" fontId="159" fillId="59" borderId="46" applyFont="0" applyFill="0" applyBorder="0" applyAlignment="0">
      <alignment horizontal="center"/>
    </xf>
    <xf numFmtId="0" fontId="35" fillId="0" borderId="46" applyNumberFormat="0" applyFill="0" applyBorder="0">
      <alignment horizontal="left" vertical="top"/>
    </xf>
    <xf numFmtId="0" fontId="35" fillId="0" borderId="46" applyNumberFormat="0" applyFill="0" applyBorder="0">
      <alignment horizontal="center" vertical="top" wrapText="1"/>
    </xf>
    <xf numFmtId="3" fontId="8" fillId="54" borderId="46" applyNumberFormat="0" applyFill="0" applyBorder="0" applyAlignment="0" applyProtection="0"/>
    <xf numFmtId="211" fontId="88" fillId="0" borderId="46"/>
    <xf numFmtId="211" fontId="90" fillId="0" borderId="46" applyBorder="0"/>
    <xf numFmtId="0" fontId="35" fillId="54" borderId="46"/>
    <xf numFmtId="0" fontId="35" fillId="53" borderId="46"/>
    <xf numFmtId="37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10" fontId="35" fillId="56" borderId="46" applyNumberFormat="0" applyBorder="0" applyAlignment="0" applyProtection="0"/>
    <xf numFmtId="0" fontId="113" fillId="0" borderId="45" applyNumberFormat="0" applyFill="0" applyAlignment="0" applyProtection="0">
      <alignment vertical="center"/>
    </xf>
    <xf numFmtId="0" fontId="114" fillId="51" borderId="42" applyNumberFormat="0" applyAlignment="0" applyProtection="0">
      <alignment vertical="center"/>
    </xf>
    <xf numFmtId="177" fontId="17" fillId="0" borderId="46" applyNumberFormat="0"/>
    <xf numFmtId="0" fontId="35" fillId="53" borderId="46"/>
    <xf numFmtId="0" fontId="79" fillId="0" borderId="45" applyNumberFormat="0" applyFill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0" fontId="113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115" fillId="38" borderId="42" applyNumberFormat="0" applyAlignment="0" applyProtection="0">
      <alignment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0" fontId="80" fillId="51" borderId="42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3" fontId="11" fillId="0" borderId="46" applyFont="0" applyAlignment="0">
      <alignment horizontal="right" vertical="center"/>
    </xf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0" fontId="81" fillId="38" borderId="42" applyNumberFormat="0" applyAlignment="0" applyProtection="0">
      <alignment vertical="center"/>
    </xf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0" fontId="81" fillId="38" borderId="42" applyNumberForma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162" fillId="58" borderId="43" applyNumberFormat="0" applyFont="0" applyAlignment="0" applyProtection="0">
      <alignment vertical="center"/>
    </xf>
    <xf numFmtId="177" fontId="17" fillId="0" borderId="46" applyNumberFormat="0"/>
    <xf numFmtId="0" fontId="35" fillId="53" borderId="46"/>
    <xf numFmtId="0" fontId="55" fillId="0" borderId="46">
      <alignment horizontal="center"/>
    </xf>
    <xf numFmtId="0" fontId="35" fillId="54" borderId="46"/>
    <xf numFmtId="0" fontId="45" fillId="58" borderId="43" applyNumberFormat="0" applyFont="0" applyAlignment="0" applyProtection="0">
      <alignment vertical="center"/>
    </xf>
    <xf numFmtId="177" fontId="17" fillId="0" borderId="46" applyNumberFormat="0"/>
    <xf numFmtId="0" fontId="50" fillId="1" borderId="47" applyNumberFormat="0" applyFont="0" applyAlignment="0">
      <alignment horizontal="center"/>
    </xf>
    <xf numFmtId="0" fontId="82" fillId="51" borderId="44" applyNumberFormat="0" applyAlignment="0" applyProtection="0">
      <alignment vertical="center"/>
    </xf>
    <xf numFmtId="37" fontId="11" fillId="0" borderId="46" applyFont="0" applyAlignment="0">
      <alignment horizontal="right" vertical="center"/>
    </xf>
    <xf numFmtId="0" fontId="81" fillId="38" borderId="42" applyNumberFormat="0" applyAlignment="0" applyProtection="0">
      <alignment vertical="center"/>
    </xf>
    <xf numFmtId="0" fontId="114" fillId="51" borderId="42" applyNumberForma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115" fillId="38" borderId="42" applyNumberFormat="0" applyAlignment="0" applyProtection="0">
      <alignment vertical="center"/>
    </xf>
    <xf numFmtId="177" fontId="17" fillId="0" borderId="46" applyNumberFormat="0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10" fontId="35" fillId="56" borderId="46" applyNumberFormat="0" applyBorder="0" applyAlignment="0" applyProtection="0"/>
    <xf numFmtId="211" fontId="90" fillId="0" borderId="46" applyBorder="0"/>
    <xf numFmtId="0" fontId="35" fillId="0" borderId="46" applyNumberFormat="0" applyFill="0" applyBorder="0">
      <alignment horizontal="center" vertical="top" wrapText="1"/>
    </xf>
    <xf numFmtId="211" fontId="88" fillId="0" borderId="46"/>
    <xf numFmtId="0" fontId="55" fillId="0" borderId="46">
      <alignment horizontal="center"/>
    </xf>
    <xf numFmtId="0" fontId="35" fillId="53" borderId="46"/>
    <xf numFmtId="0" fontId="80" fillId="51" borderId="42" applyNumberFormat="0" applyAlignment="0" applyProtection="0">
      <alignment vertical="center"/>
    </xf>
    <xf numFmtId="289" fontId="159" fillId="59" borderId="46" applyFont="0" applyFill="0" applyBorder="0" applyAlignment="0">
      <alignment horizontal="center"/>
    </xf>
    <xf numFmtId="0" fontId="80" fillId="51" borderId="42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3" fontId="11" fillId="0" borderId="46" applyFont="0" applyAlignment="0">
      <alignment horizontal="right" vertical="center"/>
    </xf>
    <xf numFmtId="0" fontId="55" fillId="0" borderId="46">
      <alignment horizontal="center"/>
    </xf>
    <xf numFmtId="0" fontId="115" fillId="38" borderId="42" applyNumberFormat="0" applyAlignment="0" applyProtection="0">
      <alignment vertical="center"/>
    </xf>
    <xf numFmtId="177" fontId="17" fillId="0" borderId="46" applyNumberFormat="0"/>
    <xf numFmtId="177" fontId="17" fillId="0" borderId="46" applyNumberFormat="0"/>
    <xf numFmtId="0" fontId="114" fillId="51" borderId="42" applyNumberFormat="0" applyAlignment="0" applyProtection="0">
      <alignment vertical="center"/>
    </xf>
    <xf numFmtId="0" fontId="100" fillId="58" borderId="43" applyNumberFormat="0" applyFont="0" applyAlignment="0" applyProtection="0">
      <alignment vertical="center"/>
    </xf>
    <xf numFmtId="0" fontId="35" fillId="0" borderId="46" applyNumberFormat="0" applyFill="0" applyBorder="0">
      <alignment horizontal="left" vertical="top"/>
    </xf>
    <xf numFmtId="0" fontId="35" fillId="53" borderId="46"/>
    <xf numFmtId="177" fontId="17" fillId="0" borderId="46" applyNumberFormat="0"/>
    <xf numFmtId="3" fontId="8" fillId="54" borderId="46" applyNumberFormat="0" applyFill="0" applyBorder="0" applyAlignment="0" applyProtection="0"/>
    <xf numFmtId="0" fontId="79" fillId="0" borderId="45" applyNumberFormat="0" applyFill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177" fontId="17" fillId="0" borderId="46" applyNumberFormat="0"/>
    <xf numFmtId="0" fontId="100" fillId="58" borderId="43" applyNumberFormat="0" applyFon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55" fillId="0" borderId="46">
      <alignment horizontal="center"/>
    </xf>
    <xf numFmtId="0" fontId="38" fillId="0" borderId="47">
      <alignment horizontal="left" vertical="center"/>
    </xf>
    <xf numFmtId="0" fontId="38" fillId="0" borderId="47">
      <alignment horizontal="left" vertical="center"/>
    </xf>
    <xf numFmtId="289" fontId="159" fillId="59" borderId="46" applyFont="0" applyFill="0" applyBorder="0" applyAlignment="0">
      <alignment horizontal="center"/>
    </xf>
    <xf numFmtId="0" fontId="162" fillId="58" borderId="43" applyNumberFormat="0" applyFont="0" applyAlignment="0" applyProtection="0">
      <alignment vertical="center"/>
    </xf>
    <xf numFmtId="177" fontId="17" fillId="0" borderId="46" applyNumberFormat="0"/>
    <xf numFmtId="0" fontId="80" fillId="51" borderId="42" applyNumberFormat="0" applyAlignment="0" applyProtection="0">
      <alignment vertical="center"/>
    </xf>
    <xf numFmtId="0" fontId="35" fillId="54" borderId="46"/>
    <xf numFmtId="0" fontId="50" fillId="1" borderId="47" applyNumberFormat="0" applyFont="0" applyAlignment="0">
      <alignment horizontal="center"/>
    </xf>
    <xf numFmtId="10" fontId="35" fillId="56" borderId="46" applyNumberFormat="0" applyBorder="0" applyAlignment="0" applyProtection="0"/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35" fillId="53" borderId="46"/>
    <xf numFmtId="0" fontId="182" fillId="0" borderId="45" applyNumberFormat="0" applyFill="0" applyAlignment="0" applyProtection="0">
      <alignment vertical="center"/>
    </xf>
    <xf numFmtId="0" fontId="38" fillId="0" borderId="47">
      <alignment horizontal="left" vertic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170" fillId="51" borderId="44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211" fontId="90" fillId="0" borderId="46" applyBorder="0"/>
    <xf numFmtId="0" fontId="38" fillId="0" borderId="47">
      <alignment horizontal="left" vertical="center"/>
    </xf>
    <xf numFmtId="0" fontId="81" fillId="38" borderId="42" applyNumberFormat="0" applyAlignment="0" applyProtection="0">
      <alignment vertical="center"/>
    </xf>
    <xf numFmtId="0" fontId="50" fillId="1" borderId="47" applyNumberFormat="0" applyFont="0" applyAlignment="0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8" fillId="0" borderId="47">
      <alignment horizontal="lef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0" fontId="55" fillId="0" borderId="46">
      <alignment horizontal="center"/>
    </xf>
    <xf numFmtId="211" fontId="88" fillId="0" borderId="46"/>
    <xf numFmtId="0" fontId="116" fillId="51" borderId="44" applyNumberFormat="0" applyAlignment="0" applyProtection="0">
      <alignment vertical="center"/>
    </xf>
    <xf numFmtId="177" fontId="17" fillId="0" borderId="46" applyNumberFormat="0"/>
    <xf numFmtId="10" fontId="35" fillId="56" borderId="46" applyNumberFormat="0" applyBorder="0" applyAlignment="0" applyProtection="0"/>
    <xf numFmtId="0" fontId="55" fillId="0" borderId="46">
      <alignment horizontal="center"/>
    </xf>
    <xf numFmtId="0" fontId="79" fillId="0" borderId="45" applyNumberFormat="0" applyFill="0" applyAlignment="0" applyProtection="0">
      <alignment vertical="center"/>
    </xf>
    <xf numFmtId="0" fontId="114" fillId="51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79" fillId="0" borderId="45" applyNumberFormat="0" applyFill="0" applyAlignment="0" applyProtection="0">
      <alignment vertical="center"/>
    </xf>
    <xf numFmtId="0" fontId="35" fillId="53" borderId="46"/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113" fillId="0" borderId="45" applyNumberFormat="0" applyFill="0" applyAlignment="0" applyProtection="0">
      <alignment vertical="center"/>
    </xf>
    <xf numFmtId="177" fontId="17" fillId="0" borderId="46" applyNumberFormat="0"/>
    <xf numFmtId="177" fontId="17" fillId="0" borderId="46" applyNumberFormat="0"/>
    <xf numFmtId="0" fontId="82" fillId="51" borderId="44" applyNumberFormat="0" applyAlignment="0" applyProtection="0">
      <alignment vertical="center"/>
    </xf>
    <xf numFmtId="0" fontId="55" fillId="0" borderId="46">
      <alignment horizontal="center"/>
    </xf>
    <xf numFmtId="0" fontId="100" fillId="58" borderId="43" applyNumberFormat="0" applyFon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211" fontId="90" fillId="0" borderId="46" applyBorder="0"/>
    <xf numFmtId="211" fontId="88" fillId="0" borderId="46"/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0" fontId="82" fillId="51" borderId="44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289" fontId="159" fillId="59" borderId="46" applyFont="0" applyFill="0" applyBorder="0" applyAlignment="0">
      <alignment horizontal="center"/>
    </xf>
    <xf numFmtId="0" fontId="162" fillId="58" borderId="43" applyNumberFormat="0" applyFon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170" fillId="51" borderId="44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177" fontId="17" fillId="0" borderId="46" applyNumberFormat="0"/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177" fontId="17" fillId="0" borderId="46" applyNumberFormat="0"/>
    <xf numFmtId="177" fontId="17" fillId="0" borderId="46" applyNumberFormat="0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82" fillId="51" borderId="44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10" fontId="35" fillId="56" borderId="46" applyNumberFormat="0" applyBorder="0" applyAlignment="0" applyProtection="0"/>
    <xf numFmtId="0" fontId="55" fillId="0" borderId="46">
      <alignment horizontal="center"/>
    </xf>
    <xf numFmtId="10" fontId="35" fillId="56" borderId="46" applyNumberFormat="0" applyBorder="0" applyAlignment="0" applyProtection="0"/>
    <xf numFmtId="0" fontId="45" fillId="58" borderId="43" applyNumberFormat="0" applyFont="0" applyAlignment="0" applyProtection="0">
      <alignment vertical="center"/>
    </xf>
    <xf numFmtId="10" fontId="35" fillId="56" borderId="46" applyNumberFormat="0" applyBorder="0" applyAlignment="0" applyProtection="0"/>
    <xf numFmtId="177" fontId="17" fillId="0" borderId="46" applyNumberFormat="0"/>
    <xf numFmtId="0" fontId="35" fillId="53" borderId="46"/>
    <xf numFmtId="0" fontId="35" fillId="54" borderId="46"/>
    <xf numFmtId="177" fontId="17" fillId="0" borderId="46" applyNumberFormat="0"/>
    <xf numFmtId="0" fontId="35" fillId="53" borderId="46"/>
    <xf numFmtId="0" fontId="162" fillId="58" borderId="43" applyNumberFormat="0" applyFont="0" applyAlignment="0" applyProtection="0">
      <alignment vertical="center"/>
    </xf>
    <xf numFmtId="177" fontId="17" fillId="0" borderId="46" applyNumberFormat="0"/>
    <xf numFmtId="177" fontId="17" fillId="0" borderId="46" applyNumberFormat="0"/>
    <xf numFmtId="0" fontId="35" fillId="0" borderId="46" applyNumberFormat="0" applyFill="0" applyBorder="0">
      <alignment horizontal="left" vertical="top"/>
    </xf>
    <xf numFmtId="10" fontId="35" fillId="56" borderId="46" applyNumberFormat="0" applyBorder="0" applyAlignment="0" applyProtection="0"/>
    <xf numFmtId="0" fontId="55" fillId="0" borderId="46">
      <alignment horizontal="center"/>
    </xf>
    <xf numFmtId="0" fontId="38" fillId="0" borderId="47">
      <alignment horizontal="left" vertical="center"/>
    </xf>
    <xf numFmtId="0" fontId="182" fillId="0" borderId="45" applyNumberFormat="0" applyFill="0" applyAlignment="0" applyProtection="0">
      <alignment vertical="center"/>
    </xf>
    <xf numFmtId="0" fontId="55" fillId="0" borderId="46">
      <alignment horizontal="center"/>
    </xf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177" fontId="17" fillId="0" borderId="46" applyNumberFormat="0"/>
    <xf numFmtId="0" fontId="38" fillId="0" borderId="47">
      <alignment horizontal="left" vertical="center"/>
    </xf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37" fontId="11" fillId="0" borderId="46" applyFont="0" applyAlignment="0">
      <alignment horizontal="right" vertical="center"/>
    </xf>
    <xf numFmtId="0" fontId="169" fillId="38" borderId="42" applyNumberForma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170" fillId="51" borderId="44" applyNumberFormat="0" applyAlignment="0" applyProtection="0">
      <alignment vertical="center"/>
    </xf>
    <xf numFmtId="0" fontId="162" fillId="58" borderId="43" applyNumberFormat="0" applyFon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55" fillId="0" borderId="46">
      <alignment horizontal="center"/>
    </xf>
    <xf numFmtId="0" fontId="55" fillId="0" borderId="46">
      <alignment horizontal="center"/>
    </xf>
    <xf numFmtId="0" fontId="35" fillId="53" borderId="46"/>
    <xf numFmtId="0" fontId="100" fillId="58" borderId="43" applyNumberFormat="0" applyFont="0" applyAlignment="0" applyProtection="0">
      <alignment vertical="center"/>
    </xf>
    <xf numFmtId="0" fontId="38" fillId="0" borderId="47">
      <alignment horizontal="left" vertical="center"/>
    </xf>
    <xf numFmtId="0" fontId="45" fillId="58" borderId="43" applyNumberFormat="0" applyFont="0" applyAlignment="0" applyProtection="0">
      <alignment vertical="center"/>
    </xf>
    <xf numFmtId="0" fontId="35" fillId="54" borderId="46"/>
    <xf numFmtId="0" fontId="82" fillId="51" borderId="44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35" fillId="53" borderId="46"/>
    <xf numFmtId="37" fontId="11" fillId="0" borderId="46" applyFont="0" applyAlignment="0">
      <alignment horizontal="right" vertical="center"/>
    </xf>
    <xf numFmtId="0" fontId="116" fillId="51" borderId="44" applyNumberFormat="0" applyAlignment="0" applyProtection="0">
      <alignment vertical="center"/>
    </xf>
    <xf numFmtId="0" fontId="183" fillId="51" borderId="42" applyNumberFormat="0" applyAlignment="0" applyProtection="0">
      <alignment vertical="center"/>
    </xf>
    <xf numFmtId="177" fontId="17" fillId="0" borderId="46" applyNumberFormat="0"/>
    <xf numFmtId="0" fontId="50" fillId="1" borderId="47" applyNumberFormat="0" applyFont="0" applyAlignment="0">
      <alignment horizontal="center"/>
    </xf>
    <xf numFmtId="0" fontId="80" fillId="51" borderId="42" applyNumberFormat="0" applyAlignment="0" applyProtection="0">
      <alignment vertical="center"/>
    </xf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100" fillId="58" borderId="43" applyNumberFormat="0" applyFon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55" fillId="0" borderId="46">
      <alignment horizontal="center"/>
    </xf>
    <xf numFmtId="0" fontId="169" fillId="38" borderId="42" applyNumberFormat="0" applyAlignment="0" applyProtection="0">
      <alignment vertical="center"/>
    </xf>
    <xf numFmtId="0" fontId="55" fillId="0" borderId="46">
      <alignment horizontal="center"/>
    </xf>
    <xf numFmtId="0" fontId="162" fillId="58" borderId="43" applyNumberFormat="0" applyFon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170" fillId="51" borderId="44" applyNumberFormat="0" applyAlignment="0" applyProtection="0">
      <alignment vertical="center"/>
    </xf>
    <xf numFmtId="0" fontId="50" fillId="1" borderId="47" applyNumberFormat="0" applyFont="0" applyAlignment="0">
      <alignment horizontal="center"/>
    </xf>
    <xf numFmtId="0" fontId="162" fillId="58" borderId="43" applyNumberFormat="0" applyFont="0" applyAlignment="0" applyProtection="0">
      <alignment vertical="center"/>
    </xf>
    <xf numFmtId="0" fontId="115" fillId="38" borderId="42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177" fontId="17" fillId="0" borderId="46" applyNumberFormat="0"/>
    <xf numFmtId="177" fontId="17" fillId="0" borderId="46" applyNumberFormat="0"/>
    <xf numFmtId="0" fontId="35" fillId="53" borderId="46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289" fontId="159" fillId="59" borderId="46" applyFont="0" applyFill="0" applyBorder="0" applyAlignment="0">
      <alignment horizontal="center"/>
    </xf>
    <xf numFmtId="0" fontId="79" fillId="0" borderId="45" applyNumberFormat="0" applyFill="0" applyAlignment="0" applyProtection="0">
      <alignment vertical="center"/>
    </xf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0" fontId="35" fillId="54" borderId="46"/>
    <xf numFmtId="0" fontId="162" fillId="58" borderId="43" applyNumberFormat="0" applyFont="0" applyAlignment="0" applyProtection="0">
      <alignment vertical="center"/>
    </xf>
    <xf numFmtId="0" fontId="55" fillId="0" borderId="46">
      <alignment horizontal="center"/>
    </xf>
    <xf numFmtId="0" fontId="183" fillId="51" borderId="42" applyNumberFormat="0" applyAlignment="0" applyProtection="0">
      <alignment vertical="center"/>
    </xf>
    <xf numFmtId="0" fontId="100" fillId="58" borderId="43" applyNumberFormat="0" applyFont="0" applyAlignment="0" applyProtection="0">
      <alignment vertical="center"/>
    </xf>
    <xf numFmtId="3" fontId="11" fillId="0" borderId="46" applyFont="0" applyAlignment="0">
      <alignment horizontal="right" vertical="center"/>
    </xf>
    <xf numFmtId="0" fontId="45" fillId="58" borderId="43" applyNumberFormat="0" applyFont="0" applyAlignment="0" applyProtection="0">
      <alignment vertical="center"/>
    </xf>
    <xf numFmtId="37" fontId="11" fillId="0" borderId="46" applyFont="0" applyAlignment="0">
      <alignment horizontal="right" vertical="center"/>
    </xf>
    <xf numFmtId="0" fontId="50" fillId="1" borderId="47" applyNumberFormat="0" applyFont="0" applyAlignment="0">
      <alignment horizontal="center"/>
    </xf>
    <xf numFmtId="0" fontId="50" fillId="1" borderId="47" applyNumberFormat="0" applyFont="0" applyAlignment="0">
      <alignment horizontal="center"/>
    </xf>
    <xf numFmtId="177" fontId="17" fillId="0" borderId="46" applyNumberFormat="0"/>
    <xf numFmtId="177" fontId="17" fillId="0" borderId="46" applyNumberFormat="0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35" fillId="53" borderId="46"/>
    <xf numFmtId="0" fontId="35" fillId="54" borderId="46"/>
    <xf numFmtId="0" fontId="82" fillId="51" borderId="44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115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0" fontId="116" fillId="51" borderId="44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170" fillId="51" borderId="44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10" fontId="35" fillId="56" borderId="46" applyNumberFormat="0" applyBorder="0" applyAlignment="0" applyProtection="0"/>
    <xf numFmtId="0" fontId="82" fillId="51" borderId="44" applyNumberFormat="0" applyAlignment="0" applyProtection="0">
      <alignment vertical="center"/>
    </xf>
    <xf numFmtId="0" fontId="55" fillId="0" borderId="46">
      <alignment horizontal="center"/>
    </xf>
    <xf numFmtId="0" fontId="55" fillId="0" borderId="46">
      <alignment horizont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38" fillId="0" borderId="47">
      <alignment horizontal="left" vertical="center"/>
    </xf>
    <xf numFmtId="0" fontId="55" fillId="0" borderId="46">
      <alignment horizontal="center"/>
    </xf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177" fontId="17" fillId="0" borderId="46" applyNumberFormat="0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81" fillId="38" borderId="42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115" fillId="38" borderId="42" applyNumberForma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114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0" fontId="81" fillId="38" borderId="42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116" fillId="51" borderId="44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55" fillId="0" borderId="46">
      <alignment horizontal="center"/>
    </xf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177" fontId="17" fillId="0" borderId="46" applyNumberFormat="0"/>
    <xf numFmtId="211" fontId="90" fillId="0" borderId="46" applyBorder="0"/>
    <xf numFmtId="211" fontId="88" fillId="0" borderId="46"/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0" fontId="50" fillId="1" borderId="47" applyNumberFormat="0" applyFont="0" applyAlignment="0">
      <alignment horizontal="center"/>
    </xf>
    <xf numFmtId="289" fontId="159" fillId="59" borderId="46" applyFont="0" applyFill="0" applyBorder="0" applyAlignment="0">
      <alignment horizontal="center"/>
    </xf>
    <xf numFmtId="0" fontId="182" fillId="0" borderId="45" applyNumberFormat="0" applyFill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170" fillId="51" borderId="44" applyNumberFormat="0" applyAlignment="0" applyProtection="0">
      <alignment vertical="center"/>
    </xf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38" fillId="0" borderId="47">
      <alignment horizontal="left" vertical="center"/>
    </xf>
    <xf numFmtId="10" fontId="35" fillId="56" borderId="46" applyNumberFormat="0" applyBorder="0" applyAlignment="0" applyProtection="0"/>
    <xf numFmtId="0" fontId="35" fillId="54" borderId="46"/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116" fillId="51" borderId="44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0" fontId="116" fillId="51" borderId="44" applyNumberFormat="0" applyAlignment="0" applyProtection="0">
      <alignment vertical="center"/>
    </xf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0" fontId="55" fillId="0" borderId="46">
      <alignment horizontal="center"/>
    </xf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211" fontId="90" fillId="0" borderId="46" applyBorder="0"/>
    <xf numFmtId="211" fontId="88" fillId="0" borderId="46"/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289" fontId="159" fillId="59" borderId="46" applyFont="0" applyFill="0" applyBorder="0" applyAlignment="0">
      <alignment horizontal="center"/>
    </xf>
    <xf numFmtId="0" fontId="182" fillId="0" borderId="45" applyNumberFormat="0" applyFill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170" fillId="51" borderId="44" applyNumberFormat="0" applyAlignment="0" applyProtection="0">
      <alignment vertical="center"/>
    </xf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177" fontId="17" fillId="0" borderId="46" applyNumberFormat="0"/>
    <xf numFmtId="0" fontId="38" fillId="0" borderId="47">
      <alignment horizontal="left" vertical="center"/>
    </xf>
    <xf numFmtId="0" fontId="50" fillId="1" borderId="47" applyNumberFormat="0" applyFont="0" applyAlignment="0">
      <alignment horizontal="center"/>
    </xf>
    <xf numFmtId="0" fontId="81" fillId="38" borderId="42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177" fontId="17" fillId="0" borderId="46" applyNumberFormat="0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82" fillId="51" borderId="44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55" fillId="0" borderId="46">
      <alignment horizontal="center"/>
    </xf>
    <xf numFmtId="0" fontId="35" fillId="54" borderId="46"/>
    <xf numFmtId="0" fontId="55" fillId="0" borderId="46">
      <alignment horizontal="center"/>
    </xf>
    <xf numFmtId="177" fontId="17" fillId="0" borderId="46" applyNumberFormat="0"/>
    <xf numFmtId="211" fontId="90" fillId="0" borderId="46" applyBorder="0"/>
    <xf numFmtId="211" fontId="88" fillId="0" borderId="46"/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289" fontId="159" fillId="59" borderId="46" applyFont="0" applyFill="0" applyBorder="0" applyAlignment="0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0" fontId="55" fillId="0" borderId="46">
      <alignment horizontal="center"/>
    </xf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211" fontId="90" fillId="0" borderId="46" applyBorder="0"/>
    <xf numFmtId="211" fontId="88" fillId="0" borderId="46"/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289" fontId="159" fillId="59" borderId="46" applyFont="0" applyFill="0" applyBorder="0" applyAlignment="0">
      <alignment horizontal="center"/>
    </xf>
    <xf numFmtId="177" fontId="17" fillId="0" borderId="46" applyNumberFormat="0"/>
    <xf numFmtId="177" fontId="17" fillId="0" borderId="46" applyNumberFormat="0"/>
    <xf numFmtId="177" fontId="17" fillId="0" borderId="46" applyNumberFormat="0"/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0" fontId="81" fillId="38" borderId="42" applyNumberFormat="0" applyAlignment="0" applyProtection="0">
      <alignment vertical="center"/>
    </xf>
    <xf numFmtId="177" fontId="17" fillId="0" borderId="46" applyNumberFormat="0"/>
    <xf numFmtId="0" fontId="169" fillId="38" borderId="42" applyNumberFormat="0" applyAlignment="0" applyProtection="0">
      <alignment vertical="center"/>
    </xf>
    <xf numFmtId="0" fontId="35" fillId="54" borderId="46"/>
    <xf numFmtId="0" fontId="100" fillId="58" borderId="43" applyNumberFormat="0" applyFont="0" applyAlignment="0" applyProtection="0">
      <alignment vertical="center"/>
    </xf>
    <xf numFmtId="0" fontId="35" fillId="53" borderId="46"/>
    <xf numFmtId="177" fontId="17" fillId="0" borderId="46" applyNumberFormat="0"/>
    <xf numFmtId="0" fontId="82" fillId="51" borderId="44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0" fontId="81" fillId="38" borderId="42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35" fillId="53" borderId="46"/>
    <xf numFmtId="10" fontId="35" fillId="56" borderId="46" applyNumberFormat="0" applyBorder="0" applyAlignment="0" applyProtection="0"/>
    <xf numFmtId="0" fontId="55" fillId="0" borderId="46">
      <alignment horizontal="center"/>
    </xf>
    <xf numFmtId="0" fontId="35" fillId="0" borderId="46" applyNumberFormat="0" applyFill="0" applyBorder="0">
      <alignment horizontal="left" vertical="top"/>
    </xf>
    <xf numFmtId="177" fontId="17" fillId="0" borderId="46" applyNumberFormat="0"/>
    <xf numFmtId="3" fontId="11" fillId="0" borderId="46" applyFont="0" applyAlignment="0">
      <alignment horizontal="right" vertical="center"/>
    </xf>
    <xf numFmtId="211" fontId="88" fillId="0" borderId="46"/>
    <xf numFmtId="0" fontId="116" fillId="51" borderId="44" applyNumberFormat="0" applyAlignment="0" applyProtection="0">
      <alignment vertical="center"/>
    </xf>
    <xf numFmtId="0" fontId="100" fillId="58" borderId="43" applyNumberFormat="0" applyFont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55" fillId="0" borderId="46">
      <alignment horizontal="center"/>
    </xf>
    <xf numFmtId="0" fontId="80" fillId="51" borderId="42" applyNumberFormat="0" applyAlignment="0" applyProtection="0">
      <alignment vertical="center"/>
    </xf>
    <xf numFmtId="37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35" fillId="0" borderId="46" applyNumberFormat="0" applyFill="0" applyBorder="0">
      <alignment horizontal="center" vertical="top" wrapText="1"/>
    </xf>
    <xf numFmtId="0" fontId="45" fillId="58" borderId="43" applyNumberFormat="0" applyFont="0" applyAlignment="0" applyProtection="0">
      <alignment vertical="center"/>
    </xf>
    <xf numFmtId="37" fontId="11" fillId="0" borderId="46" applyFont="0" applyAlignment="0">
      <alignment horizontal="right" vertical="center"/>
    </xf>
    <xf numFmtId="0" fontId="116" fillId="51" borderId="44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0" fontId="81" fillId="38" borderId="42" applyNumberFormat="0" applyAlignment="0" applyProtection="0">
      <alignment vertical="center"/>
    </xf>
    <xf numFmtId="0" fontId="35" fillId="0" borderId="46" applyNumberFormat="0" applyFill="0" applyBorder="0">
      <alignment horizontal="center" vertical="top" wrapText="1"/>
    </xf>
    <xf numFmtId="0" fontId="55" fillId="0" borderId="46">
      <alignment horizontal="center"/>
    </xf>
    <xf numFmtId="0" fontId="55" fillId="0" borderId="46">
      <alignment horizontal="center"/>
    </xf>
    <xf numFmtId="37" fontId="11" fillId="0" borderId="46" applyFont="0" applyAlignment="0">
      <alignment horizontal="right" vertical="center"/>
    </xf>
    <xf numFmtId="10" fontId="35" fillId="56" borderId="46" applyNumberFormat="0" applyBorder="0" applyAlignment="0" applyProtection="0"/>
    <xf numFmtId="177" fontId="17" fillId="0" borderId="46" applyNumberFormat="0"/>
    <xf numFmtId="0" fontId="116" fillId="51" borderId="44" applyNumberFormat="0" applyAlignment="0" applyProtection="0">
      <alignment vertical="center"/>
    </xf>
    <xf numFmtId="0" fontId="115" fillId="38" borderId="42" applyNumberFormat="0" applyAlignment="0" applyProtection="0">
      <alignment vertical="center"/>
    </xf>
    <xf numFmtId="0" fontId="55" fillId="0" borderId="46">
      <alignment horizontal="center"/>
    </xf>
    <xf numFmtId="0" fontId="55" fillId="0" borderId="46">
      <alignment horizontal="center"/>
    </xf>
    <xf numFmtId="0" fontId="170" fillId="51" borderId="44" applyNumberFormat="0" applyAlignment="0" applyProtection="0">
      <alignment vertical="center"/>
    </xf>
    <xf numFmtId="0" fontId="35" fillId="53" borderId="46"/>
    <xf numFmtId="0" fontId="79" fillId="0" borderId="45" applyNumberFormat="0" applyFill="0" applyAlignment="0" applyProtection="0">
      <alignment vertical="center"/>
    </xf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10" fontId="35" fillId="56" borderId="46" applyNumberFormat="0" applyBorder="0" applyAlignment="0" applyProtection="0"/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114" fillId="51" borderId="42" applyNumberFormat="0" applyAlignment="0" applyProtection="0">
      <alignment vertical="center"/>
    </xf>
    <xf numFmtId="0" fontId="162" fillId="58" borderId="43" applyNumberFormat="0" applyFon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37" fontId="11" fillId="0" borderId="46" applyFont="0" applyAlignment="0">
      <alignment horizontal="right" vertical="center"/>
    </xf>
    <xf numFmtId="0" fontId="55" fillId="0" borderId="46">
      <alignment horizontal="center"/>
    </xf>
    <xf numFmtId="0" fontId="79" fillId="0" borderId="45" applyNumberFormat="0" applyFill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0" fontId="35" fillId="54" borderId="46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10" fontId="35" fillId="56" borderId="46" applyNumberFormat="0" applyBorder="0" applyAlignment="0" applyProtection="0"/>
    <xf numFmtId="0" fontId="116" fillId="51" borderId="44" applyNumberFormat="0" applyAlignment="0" applyProtection="0">
      <alignment vertical="center"/>
    </xf>
    <xf numFmtId="211" fontId="90" fillId="0" borderId="46" applyBorder="0"/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0" fontId="81" fillId="38" borderId="42" applyNumberFormat="0" applyAlignment="0" applyProtection="0">
      <alignment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289" fontId="159" fillId="59" borderId="46" applyFont="0" applyFill="0" applyBorder="0" applyAlignment="0">
      <alignment horizontal="center"/>
    </xf>
    <xf numFmtId="0" fontId="81" fillId="38" borderId="42" applyNumberFormat="0" applyAlignment="0" applyProtection="0">
      <alignment vertical="center"/>
    </xf>
    <xf numFmtId="0" fontId="115" fillId="38" borderId="42" applyNumberForma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169" fillId="38" borderId="42" applyNumberFormat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55" fillId="0" borderId="46">
      <alignment horizontal="center"/>
    </xf>
    <xf numFmtId="0" fontId="55" fillId="0" borderId="46">
      <alignment horizontal="center"/>
    </xf>
    <xf numFmtId="0" fontId="79" fillId="0" borderId="45" applyNumberFormat="0" applyFill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00" fillId="58" borderId="43" applyNumberFormat="0" applyFont="0" applyAlignment="0" applyProtection="0">
      <alignment vertical="center"/>
    </xf>
    <xf numFmtId="10" fontId="35" fillId="56" borderId="46" applyNumberFormat="0" applyBorder="0" applyAlignment="0" applyProtection="0"/>
    <xf numFmtId="3" fontId="8" fillId="54" borderId="46" applyNumberFormat="0" applyFill="0" applyBorder="0" applyAlignment="0" applyProtection="0"/>
    <xf numFmtId="0" fontId="115" fillId="38" borderId="42" applyNumberForma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35" fillId="53" borderId="46"/>
    <xf numFmtId="0" fontId="113" fillId="0" borderId="45" applyNumberFormat="0" applyFill="0" applyAlignment="0" applyProtection="0">
      <alignment vertical="center"/>
    </xf>
    <xf numFmtId="0" fontId="114" fillId="51" borderId="42" applyNumberFormat="0" applyAlignment="0" applyProtection="0">
      <alignment vertic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177" fontId="17" fillId="0" borderId="46" applyNumberFormat="0"/>
    <xf numFmtId="0" fontId="55" fillId="0" borderId="46">
      <alignment horizontal="center"/>
    </xf>
    <xf numFmtId="0" fontId="55" fillId="0" borderId="46">
      <alignment horizontal="center"/>
    </xf>
    <xf numFmtId="0" fontId="114" fillId="51" borderId="42" applyNumberFormat="0" applyAlignment="0" applyProtection="0">
      <alignment vertical="center"/>
    </xf>
    <xf numFmtId="3" fontId="8" fillId="54" borderId="46" applyNumberFormat="0" applyFill="0" applyBorder="0" applyAlignment="0" applyProtection="0"/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0" fontId="80" fillId="51" borderId="42" applyNumberFormat="0" applyAlignment="0" applyProtection="0">
      <alignment vertical="center"/>
    </xf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0" fontId="35" fillId="54" borderId="46"/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0" fontId="35" fillId="54" borderId="46"/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162" fillId="58" borderId="43" applyNumberFormat="0" applyFont="0" applyAlignment="0" applyProtection="0">
      <alignment vertical="center"/>
    </xf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77" fontId="17" fillId="0" borderId="46" applyNumberFormat="0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0" fontId="100" fillId="58" borderId="43" applyNumberFormat="0" applyFont="0" applyAlignment="0" applyProtection="0">
      <alignment vertical="center"/>
    </xf>
    <xf numFmtId="211" fontId="90" fillId="0" borderId="46" applyBorder="0"/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0" fontId="45" fillId="58" borderId="43" applyNumberFormat="0" applyFon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0" fontId="81" fillId="38" borderId="42" applyNumberFormat="0" applyAlignment="0" applyProtection="0">
      <alignment vertical="center"/>
    </xf>
    <xf numFmtId="0" fontId="114" fillId="51" borderId="42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115" fillId="38" borderId="42" applyNumberFormat="0" applyAlignment="0" applyProtection="0">
      <alignment vertical="center"/>
    </xf>
    <xf numFmtId="0" fontId="114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0" fontId="81" fillId="38" borderId="42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10" fontId="35" fillId="56" borderId="46" applyNumberFormat="0" applyBorder="0" applyAlignment="0" applyProtection="0"/>
    <xf numFmtId="0" fontId="35" fillId="53" borderId="46"/>
    <xf numFmtId="37" fontId="11" fillId="0" borderId="46" applyFont="0" applyAlignment="0">
      <alignment horizontal="right" vertic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55" fillId="0" borderId="46">
      <alignment horizontal="center"/>
    </xf>
    <xf numFmtId="0" fontId="35" fillId="54" borderId="46"/>
    <xf numFmtId="0" fontId="55" fillId="0" borderId="46">
      <alignment horizont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0" fontId="35" fillId="54" borderId="46"/>
    <xf numFmtId="0" fontId="45" fillId="58" borderId="43" applyNumberFormat="0" applyFon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211" fontId="88" fillId="0" borderId="46"/>
    <xf numFmtId="289" fontId="159" fillId="59" borderId="46" applyFont="0" applyFill="0" applyBorder="0" applyAlignment="0">
      <alignment horizontal="center"/>
    </xf>
    <xf numFmtId="0" fontId="35" fillId="0" borderId="46" applyNumberFormat="0" applyFill="0" applyBorder="0">
      <alignment horizontal="left" vertical="top"/>
    </xf>
    <xf numFmtId="0" fontId="35" fillId="0" borderId="46" applyNumberFormat="0" applyFill="0" applyBorder="0">
      <alignment horizontal="center" vertical="top" wrapText="1"/>
    </xf>
    <xf numFmtId="3" fontId="8" fillId="54" borderId="46" applyNumberFormat="0" applyFill="0" applyBorder="0" applyAlignment="0" applyProtection="0"/>
    <xf numFmtId="211" fontId="88" fillId="0" borderId="46"/>
    <xf numFmtId="211" fontId="90" fillId="0" borderId="46" applyBorder="0"/>
    <xf numFmtId="0" fontId="35" fillId="54" borderId="46"/>
    <xf numFmtId="0" fontId="35" fillId="53" borderId="46"/>
    <xf numFmtId="37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10" fontId="35" fillId="56" borderId="46" applyNumberFormat="0" applyBorder="0" applyAlignment="0" applyProtection="0"/>
    <xf numFmtId="0" fontId="113" fillId="0" borderId="45" applyNumberFormat="0" applyFill="0" applyAlignment="0" applyProtection="0">
      <alignment vertical="center"/>
    </xf>
    <xf numFmtId="0" fontId="114" fillId="51" borderId="42" applyNumberFormat="0" applyAlignment="0" applyProtection="0">
      <alignment vertical="center"/>
    </xf>
    <xf numFmtId="177" fontId="17" fillId="0" borderId="46" applyNumberFormat="0"/>
    <xf numFmtId="0" fontId="35" fillId="53" borderId="46"/>
    <xf numFmtId="0" fontId="79" fillId="0" borderId="45" applyNumberFormat="0" applyFill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0" fontId="113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115" fillId="38" borderId="42" applyNumberFormat="0" applyAlignment="0" applyProtection="0">
      <alignment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0" fontId="80" fillId="51" borderId="42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3" fontId="11" fillId="0" borderId="46" applyFont="0" applyAlignment="0">
      <alignment horizontal="right" vertical="center"/>
    </xf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0" fontId="81" fillId="38" borderId="42" applyNumberFormat="0" applyAlignment="0" applyProtection="0">
      <alignment vertical="center"/>
    </xf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0" fontId="81" fillId="38" borderId="42" applyNumberForma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162" fillId="58" borderId="43" applyNumberFormat="0" applyFont="0" applyAlignment="0" applyProtection="0">
      <alignment vertical="center"/>
    </xf>
    <xf numFmtId="177" fontId="17" fillId="0" borderId="46" applyNumberFormat="0"/>
    <xf numFmtId="0" fontId="35" fillId="53" borderId="46"/>
    <xf numFmtId="0" fontId="55" fillId="0" borderId="46">
      <alignment horizontal="center"/>
    </xf>
    <xf numFmtId="0" fontId="35" fillId="54" borderId="46"/>
    <xf numFmtId="0" fontId="45" fillId="58" borderId="43" applyNumberFormat="0" applyFont="0" applyAlignment="0" applyProtection="0">
      <alignment vertical="center"/>
    </xf>
    <xf numFmtId="177" fontId="17" fillId="0" borderId="46" applyNumberFormat="0"/>
    <xf numFmtId="0" fontId="82" fillId="51" borderId="44" applyNumberFormat="0" applyAlignment="0" applyProtection="0">
      <alignment vertical="center"/>
    </xf>
    <xf numFmtId="37" fontId="11" fillId="0" borderId="46" applyFont="0" applyAlignment="0">
      <alignment horizontal="right" vertical="center"/>
    </xf>
    <xf numFmtId="0" fontId="81" fillId="38" borderId="42" applyNumberFormat="0" applyAlignment="0" applyProtection="0">
      <alignment vertical="center"/>
    </xf>
    <xf numFmtId="0" fontId="114" fillId="51" borderId="42" applyNumberForma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115" fillId="38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10" fontId="35" fillId="56" borderId="46" applyNumberFormat="0" applyBorder="0" applyAlignment="0" applyProtection="0"/>
    <xf numFmtId="211" fontId="90" fillId="0" borderId="46" applyBorder="0"/>
    <xf numFmtId="0" fontId="35" fillId="0" borderId="46" applyNumberFormat="0" applyFill="0" applyBorder="0">
      <alignment horizontal="center" vertical="top" wrapText="1"/>
    </xf>
    <xf numFmtId="211" fontId="88" fillId="0" borderId="46"/>
    <xf numFmtId="0" fontId="55" fillId="0" borderId="46">
      <alignment horizontal="center"/>
    </xf>
    <xf numFmtId="0" fontId="35" fillId="53" borderId="46"/>
    <xf numFmtId="0" fontId="80" fillId="51" borderId="42" applyNumberFormat="0" applyAlignment="0" applyProtection="0">
      <alignment vertical="center"/>
    </xf>
    <xf numFmtId="289" fontId="159" fillId="59" borderId="46" applyFont="0" applyFill="0" applyBorder="0" applyAlignment="0">
      <alignment horizontal="center"/>
    </xf>
    <xf numFmtId="0" fontId="80" fillId="51" borderId="42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3" fontId="11" fillId="0" borderId="46" applyFont="0" applyAlignment="0">
      <alignment horizontal="right" vertical="center"/>
    </xf>
    <xf numFmtId="0" fontId="55" fillId="0" borderId="46">
      <alignment horizontal="center"/>
    </xf>
    <xf numFmtId="0" fontId="115" fillId="38" borderId="42" applyNumberFormat="0" applyAlignment="0" applyProtection="0">
      <alignment vertical="center"/>
    </xf>
    <xf numFmtId="177" fontId="17" fillId="0" borderId="46" applyNumberFormat="0"/>
    <xf numFmtId="177" fontId="17" fillId="0" borderId="46" applyNumberFormat="0"/>
    <xf numFmtId="0" fontId="114" fillId="51" borderId="42" applyNumberFormat="0" applyAlignment="0" applyProtection="0">
      <alignment vertical="center"/>
    </xf>
    <xf numFmtId="0" fontId="100" fillId="58" borderId="43" applyNumberFormat="0" applyFont="0" applyAlignment="0" applyProtection="0">
      <alignment vertical="center"/>
    </xf>
    <xf numFmtId="0" fontId="35" fillId="0" borderId="46" applyNumberFormat="0" applyFill="0" applyBorder="0">
      <alignment horizontal="left" vertical="top"/>
    </xf>
    <xf numFmtId="0" fontId="35" fillId="53" borderId="46"/>
    <xf numFmtId="177" fontId="17" fillId="0" borderId="46" applyNumberFormat="0"/>
    <xf numFmtId="3" fontId="8" fillId="54" borderId="46" applyNumberFormat="0" applyFill="0" applyBorder="0" applyAlignment="0" applyProtection="0"/>
    <xf numFmtId="0" fontId="79" fillId="0" borderId="45" applyNumberFormat="0" applyFill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177" fontId="17" fillId="0" borderId="46" applyNumberFormat="0"/>
    <xf numFmtId="0" fontId="100" fillId="58" borderId="43" applyNumberFormat="0" applyFon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55" fillId="0" borderId="46">
      <alignment horizontal="center"/>
    </xf>
    <xf numFmtId="289" fontId="159" fillId="59" borderId="46" applyFont="0" applyFill="0" applyBorder="0" applyAlignment="0">
      <alignment horizontal="center"/>
    </xf>
    <xf numFmtId="0" fontId="162" fillId="58" borderId="43" applyNumberFormat="0" applyFont="0" applyAlignment="0" applyProtection="0">
      <alignment vertical="center"/>
    </xf>
    <xf numFmtId="177" fontId="17" fillId="0" borderId="46" applyNumberFormat="0"/>
    <xf numFmtId="0" fontId="80" fillId="51" borderId="42" applyNumberFormat="0" applyAlignment="0" applyProtection="0">
      <alignment vertical="center"/>
    </xf>
    <xf numFmtId="0" fontId="35" fillId="54" borderId="46"/>
    <xf numFmtId="10" fontId="35" fillId="56" borderId="46" applyNumberFormat="0" applyBorder="0" applyAlignment="0" applyProtection="0"/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35" fillId="53" borderId="46"/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211" fontId="90" fillId="0" borderId="46" applyBorder="0"/>
    <xf numFmtId="0" fontId="81" fillId="38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0" fontId="55" fillId="0" borderId="46">
      <alignment horizontal="center"/>
    </xf>
    <xf numFmtId="211" fontId="88" fillId="0" borderId="46"/>
    <xf numFmtId="177" fontId="17" fillId="0" borderId="46" applyNumberFormat="0"/>
    <xf numFmtId="10" fontId="35" fillId="56" borderId="46" applyNumberFormat="0" applyBorder="0" applyAlignment="0" applyProtection="0"/>
    <xf numFmtId="0" fontId="55" fillId="0" borderId="46">
      <alignment horizontal="center"/>
    </xf>
    <xf numFmtId="0" fontId="79" fillId="0" borderId="45" applyNumberFormat="0" applyFill="0" applyAlignment="0" applyProtection="0">
      <alignment vertical="center"/>
    </xf>
    <xf numFmtId="0" fontId="114" fillId="51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79" fillId="0" borderId="45" applyNumberFormat="0" applyFill="0" applyAlignment="0" applyProtection="0">
      <alignment vertical="center"/>
    </xf>
    <xf numFmtId="0" fontId="35" fillId="53" borderId="46"/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113" fillId="0" borderId="45" applyNumberFormat="0" applyFill="0" applyAlignment="0" applyProtection="0">
      <alignment vertical="center"/>
    </xf>
    <xf numFmtId="177" fontId="17" fillId="0" borderId="46" applyNumberFormat="0"/>
    <xf numFmtId="177" fontId="17" fillId="0" borderId="46" applyNumberFormat="0"/>
    <xf numFmtId="0" fontId="82" fillId="51" borderId="44" applyNumberFormat="0" applyAlignment="0" applyProtection="0">
      <alignment vertical="center"/>
    </xf>
    <xf numFmtId="0" fontId="55" fillId="0" borderId="46">
      <alignment horizontal="center"/>
    </xf>
    <xf numFmtId="0" fontId="100" fillId="58" borderId="43" applyNumberFormat="0" applyFon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55" fillId="0" borderId="46">
      <alignment horizontal="center"/>
    </xf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211" fontId="90" fillId="0" borderId="46" applyBorder="0"/>
    <xf numFmtId="211" fontId="88" fillId="0" borderId="46"/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0" fontId="82" fillId="51" borderId="44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289" fontId="159" fillId="59" borderId="46" applyFont="0" applyFill="0" applyBorder="0" applyAlignment="0">
      <alignment horizontal="center"/>
    </xf>
    <xf numFmtId="0" fontId="162" fillId="58" borderId="43" applyNumberFormat="0" applyFont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177" fontId="17" fillId="0" borderId="46" applyNumberFormat="0"/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177" fontId="17" fillId="0" borderId="46" applyNumberFormat="0"/>
    <xf numFmtId="177" fontId="17" fillId="0" borderId="46" applyNumberFormat="0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10" fontId="35" fillId="56" borderId="46" applyNumberFormat="0" applyBorder="0" applyAlignment="0" applyProtection="0"/>
    <xf numFmtId="0" fontId="55" fillId="0" borderId="46">
      <alignment horizontal="center"/>
    </xf>
    <xf numFmtId="10" fontId="35" fillId="56" borderId="46" applyNumberFormat="0" applyBorder="0" applyAlignment="0" applyProtection="0"/>
    <xf numFmtId="0" fontId="45" fillId="58" borderId="43" applyNumberFormat="0" applyFont="0" applyAlignment="0" applyProtection="0">
      <alignment vertical="center"/>
    </xf>
    <xf numFmtId="10" fontId="35" fillId="56" borderId="46" applyNumberFormat="0" applyBorder="0" applyAlignment="0" applyProtection="0"/>
    <xf numFmtId="177" fontId="17" fillId="0" borderId="46" applyNumberFormat="0"/>
    <xf numFmtId="0" fontId="35" fillId="53" borderId="46"/>
    <xf numFmtId="0" fontId="35" fillId="54" borderId="46"/>
    <xf numFmtId="177" fontId="17" fillId="0" borderId="46" applyNumberFormat="0"/>
    <xf numFmtId="0" fontId="35" fillId="53" borderId="46"/>
    <xf numFmtId="0" fontId="162" fillId="58" borderId="43" applyNumberFormat="0" applyFont="0" applyAlignment="0" applyProtection="0">
      <alignment vertical="center"/>
    </xf>
    <xf numFmtId="177" fontId="17" fillId="0" borderId="46" applyNumberFormat="0"/>
    <xf numFmtId="177" fontId="17" fillId="0" borderId="46" applyNumberFormat="0"/>
    <xf numFmtId="0" fontId="35" fillId="0" borderId="46" applyNumberFormat="0" applyFill="0" applyBorder="0">
      <alignment horizontal="left" vertical="top"/>
    </xf>
    <xf numFmtId="10" fontId="35" fillId="56" borderId="46" applyNumberFormat="0" applyBorder="0" applyAlignment="0" applyProtection="0"/>
    <xf numFmtId="0" fontId="55" fillId="0" borderId="46">
      <alignment horizontal="center"/>
    </xf>
    <xf numFmtId="0" fontId="182" fillId="0" borderId="45" applyNumberFormat="0" applyFill="0" applyAlignment="0" applyProtection="0">
      <alignment vertical="center"/>
    </xf>
    <xf numFmtId="0" fontId="55" fillId="0" borderId="46">
      <alignment horizontal="center"/>
    </xf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177" fontId="17" fillId="0" borderId="46" applyNumberFormat="0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37" fontId="11" fillId="0" borderId="46" applyFont="0" applyAlignment="0">
      <alignment horizontal="right" vertical="center"/>
    </xf>
    <xf numFmtId="0" fontId="169" fillId="38" borderId="42" applyNumberForma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170" fillId="51" borderId="44" applyNumberFormat="0" applyAlignment="0" applyProtection="0">
      <alignment vertical="center"/>
    </xf>
    <xf numFmtId="0" fontId="162" fillId="58" borderId="43" applyNumberFormat="0" applyFont="0" applyAlignment="0" applyProtection="0">
      <alignment vertical="center"/>
    </xf>
    <xf numFmtId="0" fontId="113" fillId="0" borderId="45" applyNumberFormat="0" applyFill="0" applyAlignment="0" applyProtection="0">
      <alignment vertical="center"/>
    </xf>
    <xf numFmtId="0" fontId="55" fillId="0" borderId="46">
      <alignment horizontal="center"/>
    </xf>
    <xf numFmtId="0" fontId="55" fillId="0" borderId="46">
      <alignment horizontal="center"/>
    </xf>
    <xf numFmtId="0" fontId="35" fillId="53" borderId="46"/>
    <xf numFmtId="0" fontId="100" fillId="58" borderId="43" applyNumberFormat="0" applyFon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35" fillId="54" borderId="46"/>
    <xf numFmtId="0" fontId="82" fillId="51" borderId="44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35" fillId="53" borderId="46"/>
    <xf numFmtId="37" fontId="11" fillId="0" borderId="46" applyFont="0" applyAlignment="0">
      <alignment horizontal="right" vertical="center"/>
    </xf>
    <xf numFmtId="0" fontId="116" fillId="51" borderId="44" applyNumberFormat="0" applyAlignment="0" applyProtection="0">
      <alignment vertical="center"/>
    </xf>
    <xf numFmtId="0" fontId="183" fillId="51" borderId="42" applyNumberFormat="0" applyAlignment="0" applyProtection="0">
      <alignment vertical="center"/>
    </xf>
    <xf numFmtId="177" fontId="17" fillId="0" borderId="46" applyNumberFormat="0"/>
    <xf numFmtId="0" fontId="80" fillId="51" borderId="42" applyNumberFormat="0" applyAlignment="0" applyProtection="0">
      <alignment vertical="center"/>
    </xf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100" fillId="58" borderId="43" applyNumberFormat="0" applyFon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55" fillId="0" borderId="46">
      <alignment horizontal="center"/>
    </xf>
    <xf numFmtId="0" fontId="169" fillId="38" borderId="42" applyNumberFormat="0" applyAlignment="0" applyProtection="0">
      <alignment vertical="center"/>
    </xf>
    <xf numFmtId="0" fontId="55" fillId="0" borderId="46">
      <alignment horizontal="center"/>
    </xf>
    <xf numFmtId="0" fontId="162" fillId="58" borderId="43" applyNumberFormat="0" applyFon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170" fillId="51" borderId="44" applyNumberFormat="0" applyAlignment="0" applyProtection="0">
      <alignment vertical="center"/>
    </xf>
    <xf numFmtId="0" fontId="162" fillId="58" borderId="43" applyNumberFormat="0" applyFont="0" applyAlignment="0" applyProtection="0">
      <alignment vertical="center"/>
    </xf>
    <xf numFmtId="0" fontId="115" fillId="38" borderId="42" applyNumberFormat="0" applyAlignment="0" applyProtection="0">
      <alignment vertical="center"/>
    </xf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177" fontId="17" fillId="0" borderId="46" applyNumberFormat="0"/>
    <xf numFmtId="177" fontId="17" fillId="0" borderId="46" applyNumberFormat="0"/>
    <xf numFmtId="0" fontId="35" fillId="53" borderId="46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182" fillId="0" borderId="45" applyNumberFormat="0" applyFill="0" applyAlignment="0" applyProtection="0">
      <alignment vertical="center"/>
    </xf>
    <xf numFmtId="289" fontId="159" fillId="59" borderId="46" applyFont="0" applyFill="0" applyBorder="0" applyAlignment="0">
      <alignment horizontal="center"/>
    </xf>
    <xf numFmtId="0" fontId="79" fillId="0" borderId="45" applyNumberFormat="0" applyFill="0" applyAlignment="0" applyProtection="0">
      <alignment vertical="center"/>
    </xf>
    <xf numFmtId="0" fontId="35" fillId="54" borderId="46"/>
    <xf numFmtId="0" fontId="162" fillId="58" borderId="43" applyNumberFormat="0" applyFont="0" applyAlignment="0" applyProtection="0">
      <alignment vertical="center"/>
    </xf>
    <xf numFmtId="0" fontId="55" fillId="0" borderId="46">
      <alignment horizontal="center"/>
    </xf>
    <xf numFmtId="0" fontId="183" fillId="51" borderId="42" applyNumberFormat="0" applyAlignment="0" applyProtection="0">
      <alignment vertical="center"/>
    </xf>
    <xf numFmtId="0" fontId="100" fillId="58" borderId="43" applyNumberFormat="0" applyFont="0" applyAlignment="0" applyProtection="0">
      <alignment vertical="center"/>
    </xf>
    <xf numFmtId="3" fontId="11" fillId="0" borderId="46" applyFont="0" applyAlignment="0">
      <alignment horizontal="right" vertical="center"/>
    </xf>
    <xf numFmtId="0" fontId="45" fillId="58" borderId="43" applyNumberFormat="0" applyFont="0" applyAlignment="0" applyProtection="0">
      <alignment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177" fontId="17" fillId="0" borderId="46" applyNumberFormat="0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35" fillId="53" borderId="46"/>
    <xf numFmtId="0" fontId="35" fillId="54" borderId="46"/>
    <xf numFmtId="0" fontId="82" fillId="51" borderId="44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0" fontId="116" fillId="51" borderId="44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115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0" fontId="116" fillId="51" borderId="44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177" fontId="17" fillId="0" borderId="46" applyNumberFormat="0"/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170" fillId="51" borderId="44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10" fontId="35" fillId="56" borderId="46" applyNumberFormat="0" applyBorder="0" applyAlignment="0" applyProtection="0"/>
    <xf numFmtId="0" fontId="82" fillId="51" borderId="44" applyNumberFormat="0" applyAlignment="0" applyProtection="0">
      <alignment vertical="center"/>
    </xf>
    <xf numFmtId="0" fontId="55" fillId="0" borderId="46">
      <alignment horizontal="center"/>
    </xf>
    <xf numFmtId="0" fontId="55" fillId="0" borderId="46">
      <alignment horizont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177" fontId="17" fillId="0" borderId="46" applyNumberFormat="0"/>
    <xf numFmtId="0" fontId="55" fillId="0" borderId="46">
      <alignment horizontal="center"/>
    </xf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177" fontId="17" fillId="0" borderId="46" applyNumberFormat="0"/>
    <xf numFmtId="0" fontId="55" fillId="0" borderId="46">
      <alignment horizontal="center"/>
    </xf>
    <xf numFmtId="0" fontId="55" fillId="0" borderId="46">
      <alignment horizontal="center"/>
    </xf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0" fontId="45" fillId="58" borderId="43" applyNumberFormat="0" applyFont="0" applyAlignment="0" applyProtection="0">
      <alignment vertical="center"/>
    </xf>
    <xf numFmtId="0" fontId="81" fillId="38" borderId="42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177" fontId="17" fillId="0" borderId="46" applyNumberFormat="0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0" fontId="81" fillId="38" borderId="42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115" fillId="38" borderId="42" applyNumberFormat="0" applyAlignment="0" applyProtection="0">
      <alignment vertical="center"/>
    </xf>
    <xf numFmtId="0" fontId="114" fillId="51" borderId="42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0" fontId="81" fillId="38" borderId="42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0" fontId="116" fillId="51" borderId="44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55" fillId="0" borderId="46">
      <alignment horizontal="center"/>
    </xf>
    <xf numFmtId="0" fontId="35" fillId="54" borderId="46"/>
    <xf numFmtId="0" fontId="55" fillId="0" borderId="46">
      <alignment horizontal="center"/>
    </xf>
    <xf numFmtId="177" fontId="17" fillId="0" borderId="46" applyNumberFormat="0"/>
    <xf numFmtId="211" fontId="90" fillId="0" borderId="46" applyBorder="0"/>
    <xf numFmtId="211" fontId="88" fillId="0" borderId="46"/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289" fontId="159" fillId="59" borderId="46" applyFont="0" applyFill="0" applyBorder="0" applyAlignment="0">
      <alignment horizont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170" fillId="51" borderId="44" applyNumberFormat="0" applyAlignment="0" applyProtection="0">
      <alignment vertical="center"/>
    </xf>
    <xf numFmtId="177" fontId="17" fillId="0" borderId="46" applyNumberFormat="0"/>
    <xf numFmtId="37" fontId="11" fillId="0" borderId="46" applyFont="0" applyAlignment="0">
      <alignment horizontal="right" vertical="center"/>
    </xf>
    <xf numFmtId="3" fontId="11" fillId="0" borderId="46" applyFont="0" applyAlignment="0">
      <alignment horizontal="right" vertical="center"/>
    </xf>
    <xf numFmtId="0" fontId="35" fillId="53" borderId="46"/>
    <xf numFmtId="10" fontId="35" fillId="56" borderId="46" applyNumberFormat="0" applyBorder="0" applyAlignment="0" applyProtection="0"/>
    <xf numFmtId="0" fontId="35" fillId="54" borderId="46"/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116" fillId="51" borderId="44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177" fontId="17" fillId="0" borderId="46" applyNumberFormat="0"/>
    <xf numFmtId="0" fontId="116" fillId="51" borderId="44" applyNumberFormat="0" applyAlignment="0" applyProtection="0">
      <alignment vertical="center"/>
    </xf>
    <xf numFmtId="0" fontId="55" fillId="0" borderId="46">
      <alignment horizontal="center"/>
    </xf>
    <xf numFmtId="0" fontId="55" fillId="0" borderId="46">
      <alignment horizontal="center"/>
    </xf>
    <xf numFmtId="0" fontId="82" fillId="51" borderId="44" applyNumberFormat="0" applyAlignment="0" applyProtection="0">
      <alignment vertical="center"/>
    </xf>
    <xf numFmtId="177" fontId="17" fillId="0" borderId="46" applyNumberFormat="0"/>
    <xf numFmtId="0" fontId="55" fillId="0" borderId="46">
      <alignment horizontal="center"/>
    </xf>
    <xf numFmtId="211" fontId="90" fillId="0" borderId="46" applyBorder="0"/>
    <xf numFmtId="211" fontId="88" fillId="0" borderId="46"/>
    <xf numFmtId="3" fontId="8" fillId="54" borderId="46" applyNumberFormat="0" applyFill="0" applyBorder="0" applyAlignment="0" applyProtection="0"/>
    <xf numFmtId="0" fontId="35" fillId="0" borderId="46" applyNumberFormat="0" applyFill="0" applyBorder="0">
      <alignment horizontal="center" vertical="top" wrapText="1"/>
    </xf>
    <xf numFmtId="0" fontId="35" fillId="0" borderId="46" applyNumberFormat="0" applyFill="0" applyBorder="0">
      <alignment horizontal="left" vertical="top"/>
    </xf>
    <xf numFmtId="289" fontId="159" fillId="59" borderId="46" applyFont="0" applyFill="0" applyBorder="0" applyAlignment="0">
      <alignment horizontal="center"/>
    </xf>
    <xf numFmtId="0" fontId="183" fillId="51" borderId="42" applyNumberFormat="0" applyAlignment="0" applyProtection="0">
      <alignment vertical="center"/>
    </xf>
    <xf numFmtId="0" fontId="169" fillId="38" borderId="42" applyNumberFormat="0" applyAlignment="0" applyProtection="0">
      <alignment vertical="center"/>
    </xf>
    <xf numFmtId="0" fontId="170" fillId="51" borderId="44" applyNumberFormat="0" applyAlignment="0" applyProtection="0">
      <alignment vertical="center"/>
    </xf>
    <xf numFmtId="177" fontId="17" fillId="0" borderId="46" applyNumberFormat="0"/>
    <xf numFmtId="0" fontId="81" fillId="38" borderId="42" applyNumberFormat="0" applyAlignment="0" applyProtection="0">
      <alignment vertical="center"/>
    </xf>
    <xf numFmtId="0" fontId="82" fillId="51" borderId="44" applyNumberFormat="0" applyAlignment="0" applyProtection="0">
      <alignment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  <xf numFmtId="177" fontId="17" fillId="0" borderId="46" applyNumberFormat="0"/>
    <xf numFmtId="0" fontId="81" fillId="38" borderId="42" applyNumberFormat="0" applyAlignment="0" applyProtection="0">
      <alignment vertical="center"/>
    </xf>
    <xf numFmtId="0" fontId="55" fillId="0" borderId="46">
      <alignment horizontal="center"/>
    </xf>
    <xf numFmtId="0" fontId="35" fillId="54" borderId="46"/>
    <xf numFmtId="10" fontId="35" fillId="56" borderId="46" applyNumberFormat="0" applyBorder="0" applyAlignment="0" applyProtection="0"/>
    <xf numFmtId="0" fontId="35" fillId="53" borderId="46"/>
    <xf numFmtId="0" fontId="82" fillId="51" borderId="44" applyNumberFormat="0" applyAlignment="0" applyProtection="0">
      <alignment vertical="center"/>
    </xf>
    <xf numFmtId="3" fontId="11" fillId="0" borderId="46" applyFont="0" applyAlignment="0">
      <alignment horizontal="right" vertical="center"/>
    </xf>
    <xf numFmtId="37" fontId="11" fillId="0" borderId="46" applyFont="0" applyAlignment="0">
      <alignment horizontal="right" vertical="center"/>
    </xf>
    <xf numFmtId="0" fontId="80" fillId="51" borderId="42" applyNumberFormat="0" applyAlignment="0" applyProtection="0">
      <alignment vertical="center"/>
    </xf>
    <xf numFmtId="177" fontId="17" fillId="0" borderId="46" applyNumberFormat="0"/>
  </cellStyleXfs>
  <cellXfs count="33">
    <xf numFmtId="0" fontId="0" fillId="0" borderId="0" xfId="0"/>
    <xf numFmtId="43" fontId="93" fillId="0" borderId="32" xfId="5136" applyNumberFormat="1" applyFont="1" applyFill="1" applyBorder="1">
      <alignment vertical="center"/>
    </xf>
    <xf numFmtId="43" fontId="93" fillId="0" borderId="0" xfId="5136" applyNumberFormat="1" applyFont="1" applyFill="1">
      <alignment vertical="center"/>
    </xf>
    <xf numFmtId="0" fontId="5" fillId="0" borderId="0" xfId="5136" applyFont="1" applyFill="1" applyAlignment="1">
      <alignment horizontal="center" vertical="center"/>
    </xf>
    <xf numFmtId="0" fontId="0" fillId="0" borderId="0" xfId="0" applyFill="1"/>
    <xf numFmtId="43" fontId="93" fillId="0" borderId="0" xfId="5138" applyNumberFormat="1" applyFont="1" applyFill="1" applyBorder="1">
      <alignment vertical="center"/>
    </xf>
    <xf numFmtId="43" fontId="94" fillId="0" borderId="30" xfId="5137" applyNumberFormat="1" applyFont="1" applyFill="1" applyBorder="1">
      <alignment vertical="center"/>
    </xf>
    <xf numFmtId="43" fontId="94" fillId="0" borderId="0" xfId="5137" applyNumberFormat="1" applyFont="1" applyFill="1" applyBorder="1">
      <alignment vertical="center"/>
    </xf>
    <xf numFmtId="43" fontId="94" fillId="0" borderId="29" xfId="5137" applyNumberFormat="1" applyFont="1" applyFill="1" applyBorder="1">
      <alignment vertical="center"/>
    </xf>
    <xf numFmtId="43" fontId="94" fillId="0" borderId="33" xfId="5137" applyNumberFormat="1" applyFont="1" applyFill="1" applyBorder="1">
      <alignment vertical="center"/>
    </xf>
    <xf numFmtId="43" fontId="93" fillId="0" borderId="0" xfId="5137" applyNumberFormat="1" applyFont="1" applyFill="1" applyBorder="1">
      <alignment vertical="center"/>
    </xf>
    <xf numFmtId="0" fontId="95" fillId="0" borderId="0" xfId="1" applyFont="1" applyFill="1">
      <alignment vertical="center"/>
    </xf>
    <xf numFmtId="0" fontId="94" fillId="0" borderId="0" xfId="5136" applyFont="1" applyFill="1" applyAlignment="1">
      <alignment horizontal="center" vertical="center"/>
    </xf>
    <xf numFmtId="177" fontId="93" fillId="0" borderId="0" xfId="5136" applyNumberFormat="1" applyFont="1" applyFill="1">
      <alignment vertical="center"/>
    </xf>
    <xf numFmtId="0" fontId="93" fillId="0" borderId="0" xfId="5136" applyFont="1" applyFill="1">
      <alignment vertical="center"/>
    </xf>
    <xf numFmtId="0" fontId="94" fillId="0" borderId="0" xfId="1" applyFont="1" applyFill="1">
      <alignment vertical="center"/>
    </xf>
    <xf numFmtId="0" fontId="6" fillId="0" borderId="0" xfId="1" applyFont="1" applyFill="1" applyAlignment="1"/>
    <xf numFmtId="43" fontId="94" fillId="0" borderId="0" xfId="5136" applyNumberFormat="1" applyFont="1" applyFill="1">
      <alignment vertical="center"/>
    </xf>
    <xf numFmtId="49" fontId="5" fillId="0" borderId="0" xfId="5136" applyNumberFormat="1" applyFont="1" applyFill="1" applyAlignment="1">
      <alignment horizontal="center" vertical="center"/>
    </xf>
    <xf numFmtId="43" fontId="93" fillId="0" borderId="30" xfId="5137" applyNumberFormat="1" applyFont="1" applyFill="1" applyBorder="1">
      <alignment vertical="center"/>
    </xf>
    <xf numFmtId="43" fontId="94" fillId="0" borderId="31" xfId="5137" applyNumberFormat="1" applyFont="1" applyFill="1" applyBorder="1">
      <alignment vertical="center"/>
    </xf>
    <xf numFmtId="43" fontId="94" fillId="0" borderId="32" xfId="5137" applyNumberFormat="1" applyFont="1" applyFill="1" applyBorder="1">
      <alignment vertical="center"/>
    </xf>
    <xf numFmtId="43" fontId="93" fillId="0" borderId="33" xfId="5137" applyNumberFormat="1" applyFont="1" applyFill="1" applyBorder="1">
      <alignment vertical="center"/>
    </xf>
    <xf numFmtId="43" fontId="94" fillId="0" borderId="34" xfId="5137" applyNumberFormat="1" applyFont="1" applyFill="1" applyBorder="1">
      <alignment vertical="center"/>
    </xf>
    <xf numFmtId="0" fontId="93" fillId="0" borderId="0" xfId="1" applyFont="1" applyFill="1">
      <alignment vertical="center"/>
    </xf>
    <xf numFmtId="0" fontId="87" fillId="0" borderId="0" xfId="1" quotePrefix="1" applyFont="1" applyFill="1">
      <alignment vertical="center"/>
    </xf>
    <xf numFmtId="0" fontId="6" fillId="0" borderId="0" xfId="1" applyFont="1" applyFill="1">
      <alignment vertical="center"/>
    </xf>
    <xf numFmtId="0" fontId="93" fillId="0" borderId="0" xfId="1" quotePrefix="1" applyFont="1" applyFill="1">
      <alignment vertical="center"/>
    </xf>
    <xf numFmtId="0" fontId="3" fillId="0" borderId="0" xfId="5136" applyFill="1">
      <alignment vertical="center"/>
    </xf>
    <xf numFmtId="0" fontId="3" fillId="0" borderId="0" xfId="1" applyFill="1">
      <alignment vertical="center"/>
    </xf>
    <xf numFmtId="0" fontId="7" fillId="0" borderId="0" xfId="1" applyFont="1" applyFill="1">
      <alignment vertical="center"/>
    </xf>
    <xf numFmtId="177" fontId="6" fillId="0" borderId="0" xfId="5137" applyFont="1" applyFill="1">
      <alignment vertical="center"/>
    </xf>
    <xf numFmtId="177" fontId="93" fillId="0" borderId="0" xfId="5137" applyFont="1" applyFill="1">
      <alignment vertical="center"/>
    </xf>
  </cellXfs>
  <cellStyles count="6842">
    <cellStyle name="###，##0" xfId="2"/>
    <cellStyle name="###，##0 2" xfId="354"/>
    <cellStyle name="###，##0 2 2" xfId="603"/>
    <cellStyle name="###，##0 2 2 2" xfId="2651"/>
    <cellStyle name="###，##0 2 2 2 2" xfId="3448"/>
    <cellStyle name="###，##0 2 2 2 2 2" xfId="4921"/>
    <cellStyle name="###，##0 2 2 2 2 2 2" xfId="6742"/>
    <cellStyle name="###，##0 2 2 2 2 3" xfId="5935"/>
    <cellStyle name="###，##0 2 2 2 3" xfId="4148"/>
    <cellStyle name="###，##0 2 2 2 3 2" xfId="6302"/>
    <cellStyle name="###，##0 2 2 2 4" xfId="5438"/>
    <cellStyle name="###，##0 2 2 3" xfId="2737"/>
    <cellStyle name="###，##0 2 2 3 2" xfId="4227"/>
    <cellStyle name="###，##0 2 2 3 2 2" xfId="6345"/>
    <cellStyle name="###，##0 2 2 3 3" xfId="5488"/>
    <cellStyle name="###，##0 2 2 4" xfId="2493"/>
    <cellStyle name="###，##0 2 2 4 2" xfId="3991"/>
    <cellStyle name="###，##0 2 2 4 2 2" xfId="6196"/>
    <cellStyle name="###，##0 2 2 4 3" xfId="5325"/>
    <cellStyle name="###，##0 2 2 5" xfId="3754"/>
    <cellStyle name="###，##0 2 2 5 2" xfId="6086"/>
    <cellStyle name="###，##0 2 2 6" xfId="5167"/>
    <cellStyle name="###，##0 2 3" xfId="2297"/>
    <cellStyle name="###，##0 2 3 2" xfId="2910"/>
    <cellStyle name="###，##0 2 3 2 2" xfId="3560"/>
    <cellStyle name="###，##0 2 3 2 2 2" xfId="5028"/>
    <cellStyle name="###，##0 2 3 2 2 2 2" xfId="6791"/>
    <cellStyle name="###，##0 2 3 2 2 3" xfId="5996"/>
    <cellStyle name="###，##0 2 3 2 3" xfId="4396"/>
    <cellStyle name="###，##0 2 3 2 3 2" xfId="6479"/>
    <cellStyle name="###，##0 2 3 2 4" xfId="5634"/>
    <cellStyle name="###，##0 2 3 3" xfId="3062"/>
    <cellStyle name="###，##0 2 3 3 2" xfId="4536"/>
    <cellStyle name="###，##0 2 3 3 2 2" xfId="6563"/>
    <cellStyle name="###，##0 2 3 3 3" xfId="5740"/>
    <cellStyle name="###，##0 2 3 4" xfId="2924"/>
    <cellStyle name="###，##0 2 3 4 2" xfId="4409"/>
    <cellStyle name="###，##0 2 3 4 2 2" xfId="6486"/>
    <cellStyle name="###，##0 2 3 4 3" xfId="5645"/>
    <cellStyle name="###，##0 2 3 5" xfId="3848"/>
    <cellStyle name="###，##0 2 3 5 2" xfId="6125"/>
    <cellStyle name="###，##0 2 3 6" xfId="5230"/>
    <cellStyle name="###，##0 2 4" xfId="2540"/>
    <cellStyle name="###，##0 2 4 2" xfId="3379"/>
    <cellStyle name="###，##0 2 4 2 2" xfId="4853"/>
    <cellStyle name="###，##0 2 4 2 2 2" xfId="6711"/>
    <cellStyle name="###，##0 2 4 2 3" xfId="5899"/>
    <cellStyle name="###，##0 2 4 3" xfId="4038"/>
    <cellStyle name="###，##0 2 4 3 2" xfId="6234"/>
    <cellStyle name="###，##0 2 4 4" xfId="5365"/>
    <cellStyle name="###，##0 2 5" xfId="2893"/>
    <cellStyle name="###，##0 2 5 2" xfId="4379"/>
    <cellStyle name="###，##0 2 5 2 2" xfId="6470"/>
    <cellStyle name="###，##0 2 5 3" xfId="5623"/>
    <cellStyle name="###，##0 2 6" xfId="2532"/>
    <cellStyle name="###，##0 2 6 2" xfId="4030"/>
    <cellStyle name="###，##0 2 6 2 2" xfId="6226"/>
    <cellStyle name="###，##0 2 6 3" xfId="5357"/>
    <cellStyle name="###，##0 2 7" xfId="3202"/>
    <cellStyle name="###，##0 2 7 2" xfId="4676"/>
    <cellStyle name="###，##0 2 7 2 2" xfId="6677"/>
    <cellStyle name="###，##0 2 7 3" xfId="5862"/>
    <cellStyle name="###，##0 2 8" xfId="3693"/>
    <cellStyle name="###，##0 2 8 2" xfId="6061"/>
    <cellStyle name="###，##0 3" xfId="559"/>
    <cellStyle name="###，##0 3 2" xfId="695"/>
    <cellStyle name="###，##0 3 2 2" xfId="2436"/>
    <cellStyle name="###，##0 3 2 2 2" xfId="3028"/>
    <cellStyle name="###，##0 3 2 2 2 2" xfId="3662"/>
    <cellStyle name="###，##0 3 2 2 2 2 2" xfId="5123"/>
    <cellStyle name="###，##0 3 2 2 2 2 2 2" xfId="6839"/>
    <cellStyle name="###，##0 3 2 2 2 2 3" xfId="6055"/>
    <cellStyle name="###，##0 3 2 2 2 3" xfId="4503"/>
    <cellStyle name="###，##0 3 2 2 2 3 2" xfId="6538"/>
    <cellStyle name="###，##0 3 2 2 2 4" xfId="5713"/>
    <cellStyle name="###，##0 3 2 2 3" xfId="3157"/>
    <cellStyle name="###，##0 3 2 2 3 2" xfId="4631"/>
    <cellStyle name="###，##0 3 2 2 3 2 2" xfId="6642"/>
    <cellStyle name="###，##0 3 2 2 3 3" xfId="5827"/>
    <cellStyle name="###，##0 3 2 2 4" xfId="3087"/>
    <cellStyle name="###，##0 3 2 2 4 2" xfId="4561"/>
    <cellStyle name="###，##0 3 2 2 4 2 2" xfId="6585"/>
    <cellStyle name="###，##0 3 2 2 4 3" xfId="5764"/>
    <cellStyle name="###，##0 3 2 2 5" xfId="3931"/>
    <cellStyle name="###，##0 3 2 2 5 2" xfId="6160"/>
    <cellStyle name="###，##0 3 2 2 6" xfId="5285"/>
    <cellStyle name="###，##0 3 2 3" xfId="2706"/>
    <cellStyle name="###，##0 3 2 3 2" xfId="3493"/>
    <cellStyle name="###，##0 3 2 3 2 2" xfId="4963"/>
    <cellStyle name="###，##0 3 2 3 2 2 2" xfId="6762"/>
    <cellStyle name="###，##0 3 2 3 2 3" xfId="5959"/>
    <cellStyle name="###，##0 3 2 3 3" xfId="4197"/>
    <cellStyle name="###，##0 3 2 3 3 2" xfId="6330"/>
    <cellStyle name="###，##0 3 2 3 4" xfId="5470"/>
    <cellStyle name="###，##0 3 2 4" xfId="2732"/>
    <cellStyle name="###，##0 3 2 4 2" xfId="4222"/>
    <cellStyle name="###，##0 3 2 4 2 2" xfId="6342"/>
    <cellStyle name="###，##0 3 2 4 3" xfId="5485"/>
    <cellStyle name="###，##0 3 2 5" xfId="2766"/>
    <cellStyle name="###，##0 3 2 5 2" xfId="4256"/>
    <cellStyle name="###，##0 3 2 5 2 2" xfId="6368"/>
    <cellStyle name="###，##0 3 2 5 3" xfId="5513"/>
    <cellStyle name="###，##0 3 2 6" xfId="3790"/>
    <cellStyle name="###，##0 3 2 6 2" xfId="6101"/>
    <cellStyle name="###，##0 3 2 7" xfId="5194"/>
    <cellStyle name="###，##0 3 3" xfId="2347"/>
    <cellStyle name="###，##0 3 3 2" xfId="2944"/>
    <cellStyle name="###，##0 3 3 2 2" xfId="3586"/>
    <cellStyle name="###，##0 3 3 2 2 2" xfId="5054"/>
    <cellStyle name="###，##0 3 3 2 2 2 2" xfId="6809"/>
    <cellStyle name="###，##0 3 3 2 2 3" xfId="6016"/>
    <cellStyle name="###，##0 3 3 2 3" xfId="4427"/>
    <cellStyle name="###，##0 3 3 2 3 2" xfId="6501"/>
    <cellStyle name="###，##0 3 3 2 4" xfId="5662"/>
    <cellStyle name="###，##0 3 3 3" xfId="2485"/>
    <cellStyle name="###，##0 3 3 3 2" xfId="3983"/>
    <cellStyle name="###，##0 3 3 3 2 2" xfId="6190"/>
    <cellStyle name="###，##0 3 3 3 3" xfId="5319"/>
    <cellStyle name="###，##0 3 3 4" xfId="3068"/>
    <cellStyle name="###，##0 3 3 4 2" xfId="4542"/>
    <cellStyle name="###，##0 3 3 4 2 2" xfId="6568"/>
    <cellStyle name="###，##0 3 3 4 3" xfId="5746"/>
    <cellStyle name="###，##0 3 3 5" xfId="3872"/>
    <cellStyle name="###，##0 3 3 5 2" xfId="6140"/>
    <cellStyle name="###，##0 3 3 6" xfId="5247"/>
    <cellStyle name="###，##0 3 4" xfId="2621"/>
    <cellStyle name="###，##0 3 4 2" xfId="3421"/>
    <cellStyle name="###，##0 3 4 2 2" xfId="4895"/>
    <cellStyle name="###，##0 3 4 2 2 2" xfId="6732"/>
    <cellStyle name="###，##0 3 4 2 3" xfId="5922"/>
    <cellStyle name="###，##0 3 4 3" xfId="4119"/>
    <cellStyle name="###，##0 3 4 3 2" xfId="6288"/>
    <cellStyle name="###，##0 3 4 4" xfId="5421"/>
    <cellStyle name="###，##0 3 5" xfId="2505"/>
    <cellStyle name="###，##0 3 5 2" xfId="4003"/>
    <cellStyle name="###，##0 3 5 2 2" xfId="6204"/>
    <cellStyle name="###，##0 3 5 3" xfId="5334"/>
    <cellStyle name="###，##0 3 6" xfId="3175"/>
    <cellStyle name="###，##0 3 6 2" xfId="4649"/>
    <cellStyle name="###，##0 3 6 2 2" xfId="6660"/>
    <cellStyle name="###，##0 3 6 3" xfId="5845"/>
    <cellStyle name="###，##0 3 7" xfId="3730"/>
    <cellStyle name="###，##0 3 7 2" xfId="6077"/>
    <cellStyle name="###，##0 3 8" xfId="5153"/>
    <cellStyle name="###，##0 4" xfId="583"/>
    <cellStyle name="###，##0 4 2" xfId="2635"/>
    <cellStyle name="###，##0 4 2 2" xfId="3432"/>
    <cellStyle name="###，##0 4 2 2 2" xfId="4905"/>
    <cellStyle name="###，##0 4 2 2 2 2" xfId="6735"/>
    <cellStyle name="###，##0 4 2 2 3" xfId="5926"/>
    <cellStyle name="###，##0 4 2 3" xfId="4132"/>
    <cellStyle name="###，##0 4 2 3 2" xfId="6294"/>
    <cellStyle name="###，##0 4 2 4" xfId="5428"/>
    <cellStyle name="###，##0 4 3" xfId="2814"/>
    <cellStyle name="###，##0 4 3 2" xfId="4304"/>
    <cellStyle name="###，##0 4 3 2 2" xfId="6412"/>
    <cellStyle name="###，##0 4 3 3" xfId="5558"/>
    <cellStyle name="###，##0 4 4" xfId="2787"/>
    <cellStyle name="###，##0 4 4 2" xfId="4277"/>
    <cellStyle name="###，##0 4 4 2 2" xfId="6388"/>
    <cellStyle name="###，##0 4 4 3" xfId="5533"/>
    <cellStyle name="###，##0 4 5" xfId="3739"/>
    <cellStyle name="###，##0 4 5 2" xfId="6079"/>
    <cellStyle name="###，##0 4 6" xfId="5158"/>
    <cellStyle name="###，##0 5" xfId="705"/>
    <cellStyle name="###，##0 5 2" xfId="2716"/>
    <cellStyle name="###，##0 5 2 2" xfId="3503"/>
    <cellStyle name="###，##0 5 2 2 2" xfId="4973"/>
    <cellStyle name="###，##0 5 2 2 2 2" xfId="6765"/>
    <cellStyle name="###，##0 5 2 2 3" xfId="5962"/>
    <cellStyle name="###，##0 5 2 3" xfId="4207"/>
    <cellStyle name="###，##0 5 2 3 2" xfId="6333"/>
    <cellStyle name="###，##0 5 2 4" xfId="5473"/>
    <cellStyle name="###，##0 5 3" xfId="2779"/>
    <cellStyle name="###，##0 5 3 2" xfId="4269"/>
    <cellStyle name="###，##0 5 3 2 2" xfId="6381"/>
    <cellStyle name="###，##0 5 3 3" xfId="5526"/>
    <cellStyle name="###，##0 5 4" xfId="2765"/>
    <cellStyle name="###，##0 5 4 2" xfId="4255"/>
    <cellStyle name="###，##0 5 4 2 2" xfId="6367"/>
    <cellStyle name="###，##0 5 4 3" xfId="5512"/>
    <cellStyle name="###，##0 5 5" xfId="3799"/>
    <cellStyle name="###，##0 5 5 2" xfId="6103"/>
    <cellStyle name="###，##0 5 6" xfId="5198"/>
    <cellStyle name="###，##0 6" xfId="739"/>
    <cellStyle name="###，##0 6 2" xfId="2738"/>
    <cellStyle name="###，##0 6 2 2" xfId="3519"/>
    <cellStyle name="###，##0 6 2 2 2" xfId="4989"/>
    <cellStyle name="###，##0 6 2 2 2 2" xfId="6773"/>
    <cellStyle name="###，##0 6 2 2 3" xfId="5972"/>
    <cellStyle name="###，##0 6 2 3" xfId="4228"/>
    <cellStyle name="###，##0 6 2 3 2" xfId="6346"/>
    <cellStyle name="###，##0 6 2 4" xfId="5489"/>
    <cellStyle name="###，##0 6 3" xfId="2451"/>
    <cellStyle name="###，##0 6 3 2" xfId="3949"/>
    <cellStyle name="###，##0 6 3 2 2" xfId="6162"/>
    <cellStyle name="###，##0 6 3 3" xfId="5289"/>
    <cellStyle name="###，##0 6 4" xfId="3144"/>
    <cellStyle name="###，##0 6 4 2" xfId="4618"/>
    <cellStyle name="###，##0 6 4 2 2" xfId="6633"/>
    <cellStyle name="###，##0 6 4 3" xfId="5816"/>
    <cellStyle name="###，##0 6 5" xfId="3814"/>
    <cellStyle name="###，##0 6 5 2" xfId="6110"/>
    <cellStyle name="###，##0 6 6" xfId="5207"/>
    <cellStyle name="###，##0 7" xfId="3189"/>
    <cellStyle name="###，##0 7 2" xfId="4663"/>
    <cellStyle name="###，##0 7 2 2" xfId="6670"/>
    <cellStyle name="###，##0 7 3" xfId="5855"/>
    <cellStyle name="#，##0" xfId="3"/>
    <cellStyle name="#，##0 2" xfId="355"/>
    <cellStyle name="#，##0 2 2" xfId="604"/>
    <cellStyle name="#，##0 2 2 2" xfId="2652"/>
    <cellStyle name="#，##0 2 2 2 2" xfId="3449"/>
    <cellStyle name="#，##0 2 2 2 2 2" xfId="4922"/>
    <cellStyle name="#，##0 2 2 2 2 2 2" xfId="6743"/>
    <cellStyle name="#，##0 2 2 2 2 3" xfId="5936"/>
    <cellStyle name="#，##0 2 2 2 3" xfId="4149"/>
    <cellStyle name="#，##0 2 2 2 3 2" xfId="6303"/>
    <cellStyle name="#，##0 2 2 2 4" xfId="5439"/>
    <cellStyle name="#，##0 2 2 3" xfId="2794"/>
    <cellStyle name="#，##0 2 2 3 2" xfId="4284"/>
    <cellStyle name="#，##0 2 2 3 2 2" xfId="6394"/>
    <cellStyle name="#，##0 2 2 3 3" xfId="5539"/>
    <cellStyle name="#，##0 2 2 4" xfId="3140"/>
    <cellStyle name="#，##0 2 2 4 2" xfId="4614"/>
    <cellStyle name="#，##0 2 2 4 2 2" xfId="6631"/>
    <cellStyle name="#，##0 2 2 4 3" xfId="5814"/>
    <cellStyle name="#，##0 2 2 5" xfId="3755"/>
    <cellStyle name="#，##0 2 2 5 2" xfId="6087"/>
    <cellStyle name="#，##0 2 2 6" xfId="5168"/>
    <cellStyle name="#，##0 2 3" xfId="2298"/>
    <cellStyle name="#，##0 2 3 2" xfId="2911"/>
    <cellStyle name="#，##0 2 3 2 2" xfId="3561"/>
    <cellStyle name="#，##0 2 3 2 2 2" xfId="5029"/>
    <cellStyle name="#，##0 2 3 2 2 2 2" xfId="6792"/>
    <cellStyle name="#，##0 2 3 2 2 3" xfId="5997"/>
    <cellStyle name="#，##0 2 3 2 3" xfId="4397"/>
    <cellStyle name="#，##0 2 3 2 3 2" xfId="6480"/>
    <cellStyle name="#，##0 2 3 2 4" xfId="5635"/>
    <cellStyle name="#，##0 2 3 3" xfId="3063"/>
    <cellStyle name="#，##0 2 3 3 2" xfId="4537"/>
    <cellStyle name="#，##0 2 3 3 2 2" xfId="6564"/>
    <cellStyle name="#，##0 2 3 3 3" xfId="5741"/>
    <cellStyle name="#，##0 2 3 4" xfId="2477"/>
    <cellStyle name="#，##0 2 3 4 2" xfId="3975"/>
    <cellStyle name="#，##0 2 3 4 2 2" xfId="6183"/>
    <cellStyle name="#，##0 2 3 4 3" xfId="5312"/>
    <cellStyle name="#，##0 2 3 5" xfId="3849"/>
    <cellStyle name="#，##0 2 3 5 2" xfId="6126"/>
    <cellStyle name="#，##0 2 3 6" xfId="5231"/>
    <cellStyle name="#，##0 2 4" xfId="2541"/>
    <cellStyle name="#，##0 2 4 2" xfId="3380"/>
    <cellStyle name="#，##0 2 4 2 2" xfId="4854"/>
    <cellStyle name="#，##0 2 4 2 2 2" xfId="6712"/>
    <cellStyle name="#，##0 2 4 2 3" xfId="5900"/>
    <cellStyle name="#，##0 2 4 3" xfId="4039"/>
    <cellStyle name="#，##0 2 4 3 2" xfId="6235"/>
    <cellStyle name="#，##0 2 4 4" xfId="5366"/>
    <cellStyle name="#，##0 2 5" xfId="2892"/>
    <cellStyle name="#，##0 2 5 2" xfId="4378"/>
    <cellStyle name="#，##0 2 5 2 2" xfId="6469"/>
    <cellStyle name="#，##0 2 5 3" xfId="5622"/>
    <cellStyle name="#，##0 2 6" xfId="3039"/>
    <cellStyle name="#，##0 2 6 2" xfId="4513"/>
    <cellStyle name="#，##0 2 6 2 2" xfId="6541"/>
    <cellStyle name="#，##0 2 6 3" xfId="5717"/>
    <cellStyle name="#，##0 2 7" xfId="3203"/>
    <cellStyle name="#，##0 2 7 2" xfId="4677"/>
    <cellStyle name="#，##0 2 7 2 2" xfId="6678"/>
    <cellStyle name="#，##0 2 7 3" xfId="5863"/>
    <cellStyle name="#，##0 2 8" xfId="3694"/>
    <cellStyle name="#，##0 2 8 2" xfId="6062"/>
    <cellStyle name="#，##0 3" xfId="558"/>
    <cellStyle name="#，##0 3 2" xfId="694"/>
    <cellStyle name="#，##0 3 2 2" xfId="2435"/>
    <cellStyle name="#，##0 3 2 2 2" xfId="3027"/>
    <cellStyle name="#，##0 3 2 2 2 2" xfId="3661"/>
    <cellStyle name="#，##0 3 2 2 2 2 2" xfId="5122"/>
    <cellStyle name="#，##0 3 2 2 2 2 2 2" xfId="6838"/>
    <cellStyle name="#，##0 3 2 2 2 2 3" xfId="6054"/>
    <cellStyle name="#，##0 3 2 2 2 3" xfId="4502"/>
    <cellStyle name="#，##0 3 2 2 2 3 2" xfId="6537"/>
    <cellStyle name="#，##0 3 2 2 2 4" xfId="5712"/>
    <cellStyle name="#，##0 3 2 2 3" xfId="3156"/>
    <cellStyle name="#，##0 3 2 2 3 2" xfId="4630"/>
    <cellStyle name="#，##0 3 2 2 3 2 2" xfId="6641"/>
    <cellStyle name="#，##0 3 2 2 3 3" xfId="5826"/>
    <cellStyle name="#，##0 3 2 2 4" xfId="2538"/>
    <cellStyle name="#，##0 3 2 2 4 2" xfId="4036"/>
    <cellStyle name="#，##0 3 2 2 4 2 2" xfId="6232"/>
    <cellStyle name="#，##0 3 2 2 4 3" xfId="5363"/>
    <cellStyle name="#，##0 3 2 2 5" xfId="3930"/>
    <cellStyle name="#，##0 3 2 2 5 2" xfId="6159"/>
    <cellStyle name="#，##0 3 2 2 6" xfId="5284"/>
    <cellStyle name="#，##0 3 2 3" xfId="2705"/>
    <cellStyle name="#，##0 3 2 3 2" xfId="3492"/>
    <cellStyle name="#，##0 3 2 3 2 2" xfId="4962"/>
    <cellStyle name="#，##0 3 2 3 2 2 2" xfId="6761"/>
    <cellStyle name="#，##0 3 2 3 2 3" xfId="5958"/>
    <cellStyle name="#，##0 3 2 3 3" xfId="4196"/>
    <cellStyle name="#，##0 3 2 3 3 2" xfId="6329"/>
    <cellStyle name="#，##0 3 2 3 4" xfId="5469"/>
    <cellStyle name="#，##0 3 2 4" xfId="2751"/>
    <cellStyle name="#，##0 3 2 4 2" xfId="4241"/>
    <cellStyle name="#，##0 3 2 4 2 2" xfId="6354"/>
    <cellStyle name="#，##0 3 2 4 3" xfId="5499"/>
    <cellStyle name="#，##0 3 2 5" xfId="2654"/>
    <cellStyle name="#，##0 3 2 5 2" xfId="4151"/>
    <cellStyle name="#，##0 3 2 5 2 2" xfId="6304"/>
    <cellStyle name="#，##0 3 2 5 3" xfId="5440"/>
    <cellStyle name="#，##0 3 2 6" xfId="3789"/>
    <cellStyle name="#，##0 3 2 6 2" xfId="6100"/>
    <cellStyle name="#，##0 3 2 7" xfId="5193"/>
    <cellStyle name="#，##0 3 3" xfId="2346"/>
    <cellStyle name="#，##0 3 3 2" xfId="2943"/>
    <cellStyle name="#，##0 3 3 2 2" xfId="3585"/>
    <cellStyle name="#，##0 3 3 2 2 2" xfId="5053"/>
    <cellStyle name="#，##0 3 3 2 2 2 2" xfId="6808"/>
    <cellStyle name="#，##0 3 3 2 2 3" xfId="6015"/>
    <cellStyle name="#，##0 3 3 2 3" xfId="4426"/>
    <cellStyle name="#，##0 3 3 2 3 2" xfId="6500"/>
    <cellStyle name="#，##0 3 3 2 4" xfId="5661"/>
    <cellStyle name="#，##0 3 3 3" xfId="2895"/>
    <cellStyle name="#，##0 3 3 3 2" xfId="4381"/>
    <cellStyle name="#，##0 3 3 3 2 2" xfId="6472"/>
    <cellStyle name="#，##0 3 3 3 3" xfId="5625"/>
    <cellStyle name="#，##0 3 3 4" xfId="2557"/>
    <cellStyle name="#，##0 3 3 4 2" xfId="4055"/>
    <cellStyle name="#，##0 3 3 4 2 2" xfId="6247"/>
    <cellStyle name="#，##0 3 3 4 3" xfId="5380"/>
    <cellStyle name="#，##0 3 3 5" xfId="3871"/>
    <cellStyle name="#，##0 3 3 5 2" xfId="6139"/>
    <cellStyle name="#，##0 3 3 6" xfId="5246"/>
    <cellStyle name="#，##0 3 4" xfId="2620"/>
    <cellStyle name="#，##0 3 4 2" xfId="3420"/>
    <cellStyle name="#，##0 3 4 2 2" xfId="4894"/>
    <cellStyle name="#，##0 3 4 2 2 2" xfId="6731"/>
    <cellStyle name="#，##0 3 4 2 3" xfId="5921"/>
    <cellStyle name="#，##0 3 4 3" xfId="4118"/>
    <cellStyle name="#，##0 3 4 3 2" xfId="6287"/>
    <cellStyle name="#，##0 3 4 4" xfId="5420"/>
    <cellStyle name="#，##0 3 5" xfId="2843"/>
    <cellStyle name="#，##0 3 5 2" xfId="4332"/>
    <cellStyle name="#，##0 3 5 2 2" xfId="6438"/>
    <cellStyle name="#，##0 3 5 3" xfId="5585"/>
    <cellStyle name="#，##0 3 6" xfId="2598"/>
    <cellStyle name="#，##0 3 6 2" xfId="4096"/>
    <cellStyle name="#，##0 3 6 2 2" xfId="6270"/>
    <cellStyle name="#，##0 3 6 3" xfId="5403"/>
    <cellStyle name="#，##0 3 7" xfId="3729"/>
    <cellStyle name="#，##0 3 7 2" xfId="6076"/>
    <cellStyle name="#，##0 3 8" xfId="5152"/>
    <cellStyle name="#，##0 4" xfId="584"/>
    <cellStyle name="#，##0 4 2" xfId="2636"/>
    <cellStyle name="#，##0 4 2 2" xfId="3433"/>
    <cellStyle name="#，##0 4 2 2 2" xfId="4906"/>
    <cellStyle name="#，##0 4 2 2 2 2" xfId="6736"/>
    <cellStyle name="#，##0 4 2 2 3" xfId="5927"/>
    <cellStyle name="#，##0 4 2 3" xfId="4133"/>
    <cellStyle name="#，##0 4 2 3 2" xfId="6295"/>
    <cellStyle name="#，##0 4 2 4" xfId="5429"/>
    <cellStyle name="#，##0 4 3" xfId="2797"/>
    <cellStyle name="#，##0 4 3 2" xfId="4287"/>
    <cellStyle name="#，##0 4 3 2 2" xfId="6396"/>
    <cellStyle name="#，##0 4 3 3" xfId="5541"/>
    <cellStyle name="#，##0 4 4" xfId="2736"/>
    <cellStyle name="#，##0 4 4 2" xfId="4226"/>
    <cellStyle name="#，##0 4 4 2 2" xfId="6344"/>
    <cellStyle name="#，##0 4 4 3" xfId="5487"/>
    <cellStyle name="#，##0 4 5" xfId="3740"/>
    <cellStyle name="#，##0 4 5 2" xfId="6080"/>
    <cellStyle name="#，##0 4 6" xfId="5159"/>
    <cellStyle name="#，##0 5" xfId="706"/>
    <cellStyle name="#，##0 5 2" xfId="2717"/>
    <cellStyle name="#，##0 5 2 2" xfId="3504"/>
    <cellStyle name="#，##0 5 2 2 2" xfId="4974"/>
    <cellStyle name="#，##0 5 2 2 2 2" xfId="6766"/>
    <cellStyle name="#，##0 5 2 2 3" xfId="5963"/>
    <cellStyle name="#，##0 5 2 3" xfId="4208"/>
    <cellStyle name="#，##0 5 2 3 2" xfId="6334"/>
    <cellStyle name="#，##0 5 2 4" xfId="5474"/>
    <cellStyle name="#，##0 5 3" xfId="2778"/>
    <cellStyle name="#，##0 5 3 2" xfId="4268"/>
    <cellStyle name="#，##0 5 3 2 2" xfId="6380"/>
    <cellStyle name="#，##0 5 3 3" xfId="5525"/>
    <cellStyle name="#，##0 5 4" xfId="2547"/>
    <cellStyle name="#，##0 5 4 2" xfId="4045"/>
    <cellStyle name="#，##0 5 4 2 2" xfId="6240"/>
    <cellStyle name="#，##0 5 4 3" xfId="5371"/>
    <cellStyle name="#，##0 5 5" xfId="3800"/>
    <cellStyle name="#，##0 5 5 2" xfId="6104"/>
    <cellStyle name="#，##0 5 6" xfId="5199"/>
    <cellStyle name="#，##0 6" xfId="740"/>
    <cellStyle name="#，##0 6 2" xfId="2739"/>
    <cellStyle name="#，##0 6 2 2" xfId="3520"/>
    <cellStyle name="#，##0 6 2 2 2" xfId="4990"/>
    <cellStyle name="#，##0 6 2 2 2 2" xfId="6774"/>
    <cellStyle name="#，##0 6 2 2 3" xfId="5973"/>
    <cellStyle name="#，##0 6 2 3" xfId="4229"/>
    <cellStyle name="#，##0 6 2 3 2" xfId="6347"/>
    <cellStyle name="#，##0 6 2 4" xfId="5490"/>
    <cellStyle name="#，##0 6 3" xfId="2666"/>
    <cellStyle name="#，##0 6 3 2" xfId="4163"/>
    <cellStyle name="#，##0 6 3 2 2" xfId="6314"/>
    <cellStyle name="#，##0 6 3 3" xfId="5452"/>
    <cellStyle name="#，##0 6 4" xfId="3174"/>
    <cellStyle name="#，##0 6 4 2" xfId="4648"/>
    <cellStyle name="#，##0 6 4 2 2" xfId="6659"/>
    <cellStyle name="#，##0 6 4 3" xfId="5844"/>
    <cellStyle name="#，##0 6 5" xfId="3815"/>
    <cellStyle name="#，##0 6 5 2" xfId="6111"/>
    <cellStyle name="#，##0 6 6" xfId="5208"/>
    <cellStyle name="#，##0 7" xfId="3190"/>
    <cellStyle name="#，##0 7 2" xfId="4664"/>
    <cellStyle name="#，##0 7 2 2" xfId="6671"/>
    <cellStyle name="#，##0 7 3" xfId="5856"/>
    <cellStyle name="??" xfId="4"/>
    <cellStyle name="?? [0]" xfId="5"/>
    <cellStyle name="???_x000d_" xfId="6"/>
    <cellStyle name="??????" xfId="7"/>
    <cellStyle name="???[0]" xfId="772"/>
    <cellStyle name="??_0N-HANDLING " xfId="8"/>
    <cellStyle name="?鹎%U龡&amp;H齲_x0001__x0016_?_x0005__x0007__x0001__x0001_" xfId="9"/>
    <cellStyle name="?鹎%U龡&amp;H齲_x0001__x0016_?_x0005__x0007__x0001__x0001_ 2" xfId="502"/>
    <cellStyle name="?鹎%U龡&amp;H齲_x0001__x0016_?_x0005__x0007__x0001__x0001_ 3" xfId="418"/>
    <cellStyle name="?鹎%U龡&amp;H齲_x0001__x0016_?_x0005__x0007__x0001__x0001_ 3 2" xfId="663"/>
    <cellStyle name="?鹎%U龡&amp;H齲_x0001__x0016_?_x0005__x0007__x0001__x0001_ 3 2 2" xfId="2676"/>
    <cellStyle name="?鹎%U龡&amp;H齲_x0001__x0016_?_x0005__x0007__x0001__x0001_ 3 2 2 2" xfId="3466"/>
    <cellStyle name="?鹎%U龡&amp;H齲_x0001__x0016_?_x0005__x0007__x0001__x0001_ 3 2 2 2 2" xfId="4937"/>
    <cellStyle name="?鹎%U龡&amp;H齲_x0001__x0016_?_x0005__x0007__x0001__x0001_ 3 2 2 3" xfId="4172"/>
    <cellStyle name="?鹎%U龡&amp;H齲_x0001__x0016_?_x0005__x0007__x0001__x0001_ 3 2 3" xfId="3255"/>
    <cellStyle name="?鹎%U龡&amp;H齲_x0001__x0016_?_x0005__x0007__x0001__x0001_ 3 2 3 2" xfId="4729"/>
    <cellStyle name="?鹎%U龡&amp;H齲_x0001__x0016_?_x0005__x0007__x0001__x0001_ 3 2 4" xfId="3768"/>
    <cellStyle name="?鹎%U龡&amp;H齲_x0001__x0016_?_x0005__x0007__x0001__x0001_ 3 3" xfId="2571"/>
    <cellStyle name="?鹎%U龡&amp;H齲_x0001__x0016_?_x0005__x0007__x0001__x0001_ 3 3 2" xfId="3397"/>
    <cellStyle name="?鹎%U龡&amp;H齲_x0001__x0016_?_x0005__x0007__x0001__x0001_ 3 3 2 2" xfId="4871"/>
    <cellStyle name="?鹎%U龡&amp;H齲_x0001__x0016_?_x0005__x0007__x0001__x0001_ 3 3 3" xfId="4069"/>
    <cellStyle name="?鹎%U龡&amp;H齲_x0001__x0016_?_x0005__x0007__x0001__x0001_ 3 4" xfId="3215"/>
    <cellStyle name="?鹎%U龡&amp;H齲_x0001__x0016_?_x0005__x0007__x0001__x0001_ 3 4 2" xfId="4689"/>
    <cellStyle name="?鹎%U龡&amp;H齲_x0001__x0016_?_x0005__x0007__x0001__x0001_ 3 5" xfId="3706"/>
    <cellStyle name="?鹎%U龡&amp;H齲_x0001__x0016_?_x0005__x0007__x0001__x0001_ 4" xfId="585"/>
    <cellStyle name="?鹎%U龡&amp;H齲_x0001__x0016_?_x0005__x0007__x0001__x0001_ 4 2" xfId="2394"/>
    <cellStyle name="?鹎%U龡&amp;H齲_x0001__x0016_?_x0005__x0007__x0001__x0001_ 4 2 2" xfId="2988"/>
    <cellStyle name="?鹎%U龡&amp;H齲_x0001__x0016_?_x0005__x0007__x0001__x0001_ 4 2 2 2" xfId="3625"/>
    <cellStyle name="?鹎%U龡&amp;H齲_x0001__x0016_?_x0005__x0007__x0001__x0001_ 4 2 2 2 2" xfId="5087"/>
    <cellStyle name="?鹎%U龡&amp;H齲_x0001__x0016_?_x0005__x0007__x0001__x0001_ 4 2 2 3" xfId="4466"/>
    <cellStyle name="?鹎%U龡&amp;H齲_x0001__x0016_?_x0005__x0007__x0001__x0001_ 4 2 3" xfId="3332"/>
    <cellStyle name="?鹎%U龡&amp;H齲_x0001__x0016_?_x0005__x0007__x0001__x0001_ 4 2 3 2" xfId="4806"/>
    <cellStyle name="?鹎%U龡&amp;H齲_x0001__x0016_?_x0005__x0007__x0001__x0001_ 4 2 4" xfId="3900"/>
    <cellStyle name="?鹎%U龡&amp;H齲_x0001__x0016_?_x0005__x0007__x0001__x0001_ 4 3" xfId="2637"/>
    <cellStyle name="?鹎%U龡&amp;H齲_x0001__x0016_?_x0005__x0007__x0001__x0001_ 4 3 2" xfId="3434"/>
    <cellStyle name="?鹎%U龡&amp;H齲_x0001__x0016_?_x0005__x0007__x0001__x0001_ 4 3 2 2" xfId="4907"/>
    <cellStyle name="?鹎%U龡&amp;H齲_x0001__x0016_?_x0005__x0007__x0001__x0001_ 4 3 3" xfId="4134"/>
    <cellStyle name="?鹎%U龡&amp;H齲_x0001__x0016_?_x0005__x0007__x0001__x0001_ 4 4" xfId="3240"/>
    <cellStyle name="?鹎%U龡&amp;H齲_x0001__x0016_?_x0005__x0007__x0001__x0001_ 4 4 2" xfId="4714"/>
    <cellStyle name="?鹎%U龡&amp;H齲_x0001__x0016_?_x0005__x0007__x0001__x0001_ 4 5" xfId="3741"/>
    <cellStyle name="?鹎%U龡&amp;H齲_x0001__x0016_?_x0005__x0007__x0001__x0001_ 5" xfId="2453"/>
    <cellStyle name="?鹎%U龡&amp;H齲_x0001__x0016_?_x0005__x0007__x0001__x0001_ 5 2" xfId="3362"/>
    <cellStyle name="?鹎%U龡&amp;H齲_x0001__x0016_?_x0005__x0007__x0001__x0001_ 5 2 2" xfId="4836"/>
    <cellStyle name="?鹎%U龡&amp;H齲_x0001__x0016_?_x0005__x0007__x0001__x0001_ 5 3" xfId="3951"/>
    <cellStyle name="?鹎%U龡&amp;H齲_x0001__x0016_?_x0005__x0007__x0001__x0001_ 6" xfId="3191"/>
    <cellStyle name="?鹎%U龡&amp;H齲_x0001__x0016_?_x0005__x0007__x0001__x0001_ 6 2" xfId="4665"/>
    <cellStyle name="?鹎%U龡&amp;H齲_x0001__x0016_?_x0005__x0007__x0001__x0001_ 7" xfId="3675"/>
    <cellStyle name="@_text" xfId="10"/>
    <cellStyle name="_02-审计过录表(科研所）" xfId="11"/>
    <cellStyle name="_04-05年制造费用" xfId="12"/>
    <cellStyle name="_05底稿" xfId="13"/>
    <cellStyle name="_06年9月--酒店+机关" xfId="14"/>
    <cellStyle name="_06预审张掖底稿(刘)" xfId="15"/>
    <cellStyle name="_12月22日按石油行业分类对比表" xfId="16"/>
    <cellStyle name="_2005-3铝厂底稿" xfId="17"/>
    <cellStyle name="_2006年度决算财务管理报表(合并酒店)" xfId="18"/>
    <cellStyle name="_2006年预审明细表" xfId="19"/>
    <cellStyle name="_2-常德底稿" xfId="20"/>
    <cellStyle name="_3-审计过录表2005(合并表）3.20" xfId="21"/>
    <cellStyle name="_3-审计过录表2006(合并表）" xfId="22"/>
    <cellStyle name="_5-设科所-审计过录表" xfId="23"/>
    <cellStyle name="_Bank Loan" xfId="24"/>
    <cellStyle name="_Book2" xfId="25"/>
    <cellStyle name="_Cash and cash equivalents Simon" xfId="26"/>
    <cellStyle name="_ETB" xfId="27"/>
    <cellStyle name="_Extended TB updated FS simon 1862007" xfId="28"/>
    <cellStyle name="_FA+Intan昆山" xfId="29"/>
    <cellStyle name="_FAR-YC" xfId="30"/>
    <cellStyle name="_FAR-宜春市供水" xfId="31"/>
    <cellStyle name="_FA彩珠" xfId="32"/>
    <cellStyle name="_Fixed assets 03-05" xfId="33"/>
    <cellStyle name="_Fixed assets1111" xfId="34"/>
    <cellStyle name="_flna外运底稿" xfId="35"/>
    <cellStyle name="_Holding wpf (020707)" xfId="36"/>
    <cellStyle name="_Holding wpf (290607)" xfId="37"/>
    <cellStyle name="_Holding wpf 0405 Johnson" xfId="38"/>
    <cellStyle name="_Holding wpf 07 Johnson" xfId="39"/>
    <cellStyle name="_Intragroup balances" xfId="40"/>
    <cellStyle name="_Inventories" xfId="41"/>
    <cellStyle name="_Inventories Steven" xfId="42"/>
    <cellStyle name="_Inventory" xfId="43"/>
    <cellStyle name="_Investments in sub" xfId="44"/>
    <cellStyle name="_Manuf. overhead - Payroll 07" xfId="45"/>
    <cellStyle name="_Mat" xfId="46"/>
    <cellStyle name="_Other payables" xfId="47"/>
    <cellStyle name="_Payroll" xfId="48"/>
    <cellStyle name="_Projection for private group (18 Jun)" xfId="49"/>
    <cellStyle name="_provison for bad debts - ok" xfId="50"/>
    <cellStyle name="_Reasonable test on manufacturing depreciation 07" xfId="51"/>
    <cellStyle name="_RR" xfId="52"/>
    <cellStyle name="_RR昆山" xfId="53"/>
    <cellStyle name="_Sales Commission 06" xfId="54"/>
    <cellStyle name="_Shareholders' equity45" xfId="55"/>
    <cellStyle name="_Sinotrans HK Holding_consol TB_2005 (20060420)" xfId="56"/>
    <cellStyle name="_Substantive test SImon FA" xfId="57"/>
    <cellStyle name="_Summary of misstatement" xfId="58"/>
    <cellStyle name="_Tax 04" xfId="59"/>
    <cellStyle name="_Tax 05" xfId="60"/>
    <cellStyle name="_Working-Holding-0405Ron" xfId="61"/>
    <cellStyle name="_Yichun wpf" xfId="62"/>
    <cellStyle name="_Yichun wpf 20070913" xfId="63"/>
    <cellStyle name="_二年一期关联销售采购明细表" xfId="64"/>
    <cellStyle name="_上级拨入资金明细" xfId="66"/>
    <cellStyle name="_上海酒店1" xfId="65"/>
    <cellStyle name="_凡谷报表2006新" xfId="67"/>
    <cellStyle name="_大连中铁快运有限公司审计底稿HMK" xfId="68"/>
    <cellStyle name="_大连分底稿" xfId="69"/>
    <cellStyle name="_山东空运底稿HMK" xfId="70"/>
    <cellStyle name="_中力房地产底稿" xfId="71"/>
    <cellStyle name="_中铁行包武汉底稿" xfId="72"/>
    <cellStyle name="_天业底稿" xfId="73"/>
    <cellStyle name="_外运2005模板黑龙江" xfId="74"/>
    <cellStyle name="_本部底稿-HZ " xfId="75"/>
    <cellStyle name="_母公司TB" xfId="76"/>
    <cellStyle name="_母公司---YY" xfId="77"/>
    <cellStyle name="_会计差错调整分录" xfId="78"/>
    <cellStyle name="_机关年审底稿ZK-HMK" xfId="79"/>
    <cellStyle name="_辽河内控HMK" xfId="121"/>
    <cellStyle name="_坏账准备明细表-2004 12 31" xfId="80"/>
    <cellStyle name="_张掖公司审1" xfId="116"/>
    <cellStyle name="_报表06年-9月份" xfId="81"/>
    <cellStyle name="_辰州本部底稿2006.10WLC" xfId="82"/>
    <cellStyle name="_辰州本部底稿2006.12WLC" xfId="83"/>
    <cellStyle name="_辰州矿业本部HMK" xfId="84"/>
    <cellStyle name="_固定资产-new" xfId="85"/>
    <cellStyle name="_固定资产明细表上报" xfId="86"/>
    <cellStyle name="_审计所需资料清单附件-07年6月30日.电子配件公司" xfId="114"/>
    <cellStyle name="_审计明细表-上海分" xfId="115"/>
    <cellStyle name="_底稿-CP" xfId="87"/>
    <cellStyle name="_补充资料-上海分(缺客户往来)" xfId="88"/>
    <cellStyle name="_货币资金" xfId="118"/>
    <cellStyle name="_附件一：母公司审计明细表" xfId="89"/>
    <cellStyle name="_附注－WLC审计部分" xfId="90"/>
    <cellStyle name="_哈密公司附件一：xx公司审计明细表(1)" xfId="91"/>
    <cellStyle name="_复件 12月22日按石油行业分类对比表" xfId="92"/>
    <cellStyle name="_建材院年审底稿HMK" xfId="93"/>
    <cellStyle name="_结算中心-07年6月30日" xfId="117"/>
    <cellStyle name="_贷款明细表" xfId="119"/>
    <cellStyle name="_债权" xfId="113"/>
    <cellStyle name="_唐山底稿" xfId="94"/>
    <cellStyle name="_桂林底稿" xfId="95"/>
    <cellStyle name="_资产底稿" xfId="120"/>
    <cellStyle name="_酒店税金附加" xfId="96"/>
    <cellStyle name="_预审小结附件2006" xfId="122"/>
    <cellStyle name="_预审计底稿－大鹏" xfId="123"/>
    <cellStyle name="_常州大酒店-bai" xfId="97"/>
    <cellStyle name="_常州中油年审底稿Lj" xfId="98"/>
    <cellStyle name="_常州公司折旧" xfId="99"/>
    <cellStyle name="_常州华油机关年审底稿HMK" xfId="100"/>
    <cellStyle name="_常州酒店存货" xfId="101"/>
    <cellStyle name="_常德华油05-10底稿" xfId="102"/>
    <cellStyle name="_張掖Extended TB" xfId="103"/>
    <cellStyle name="_張掖底稿" xfId="104"/>
    <cellStyle name="_深圳分底稿-调好格式" xfId="105"/>
    <cellStyle name="_深圳空运底稿HMK打印稿" xfId="106"/>
    <cellStyle name="_最新关联方交易 (合并层次)" xfId="107"/>
    <cellStyle name="_湖南久凌底稿-pass" xfId="108"/>
    <cellStyle name="_联交所Q" xfId="109"/>
    <cellStyle name="_新绍辰州锑业公司" xfId="112"/>
    <cellStyle name="_新政策对折旧影响计算表" xfId="110"/>
    <cellStyle name="_新疆20070630working 182007" xfId="111"/>
    <cellStyle name="{Comma [0]}" xfId="124"/>
    <cellStyle name="{Comma}" xfId="125"/>
    <cellStyle name="{Date}" xfId="126"/>
    <cellStyle name="{Month}" xfId="127"/>
    <cellStyle name="{Percent}" xfId="128"/>
    <cellStyle name="{Thousand [0]}" xfId="129"/>
    <cellStyle name="{Thousand}" xfId="130"/>
    <cellStyle name="{Z'0000(1 dec)}" xfId="131"/>
    <cellStyle name="{Z'0000(4 dec)}" xfId="132"/>
    <cellStyle name="´Þ·¯" xfId="773"/>
    <cellStyle name="¤d¤À¦ì [0]" xfId="774"/>
    <cellStyle name="¤d¤À¦ì_cmdinput" xfId="775"/>
    <cellStyle name="¥Vn¥VC¥Vp[¥V¥A¥V¡°¥VN" xfId="776"/>
    <cellStyle name="°íÁ¤¼Ò¼ýÁ¡" xfId="777"/>
    <cellStyle name="°íÁ¤Ãâ·Â1" xfId="778"/>
    <cellStyle name="°íÁ¤Ãâ·Â2" xfId="779"/>
    <cellStyle name="¶W³sµ²" xfId="133"/>
    <cellStyle name="¶W³sµ² 2" xfId="780"/>
    <cellStyle name="0" xfId="781"/>
    <cellStyle name="0%" xfId="134"/>
    <cellStyle name="0,0_x000d__x000a_NA_x000d__x000a_" xfId="135"/>
    <cellStyle name="0,0_x000d__x000a_NA_x000d__x000a_ 2" xfId="782"/>
    <cellStyle name="0.0%" xfId="136"/>
    <cellStyle name="0.00%" xfId="137"/>
    <cellStyle name="0_!!!GO" xfId="783"/>
    <cellStyle name="0_!!!GO_(3)Grand US workings December 2005" xfId="784"/>
    <cellStyle name="0_!!!GO_(3)Grand US workings December 2005_Book1" xfId="785"/>
    <cellStyle name="0_!!!GO_(3)Grand US workings December 2005_Consolidation_2006_Summary (v2) (1)" xfId="786"/>
    <cellStyle name="0_!!!GO_(3)Grand US workings December 2005_Consolidation_2006_Summary (v3)" xfId="787"/>
    <cellStyle name="0_!!!GO_(3)Grand US workings December 2005_Consolidation_2006_Summary audit" xfId="788"/>
    <cellStyle name="0_!!!GO_(3)Grand US workings December 2005_Consolidation_2006_Summary auditBS &amp; PL" xfId="789"/>
    <cellStyle name="0_!!!GO_(3)Grand US workings December 2005_DeferredTaxLiabilitiesOnFixedAssets" xfId="790"/>
    <cellStyle name="0_!!!GO_(3)Grand US workings December 2005_Management accounts 2006(UPDATED)" xfId="791"/>
    <cellStyle name="0_!!!GO_10Q JULY  2004 " xfId="792"/>
    <cellStyle name="0_!!!GO_10Q JULY  2004 _Book1" xfId="793"/>
    <cellStyle name="0_!!!GO_10Q JULY  2004 _Consolidation_2006_Summary (v2) (1)" xfId="794"/>
    <cellStyle name="0_!!!GO_10Q JULY  2004 _Consolidation_2006_Summary (v3)" xfId="795"/>
    <cellStyle name="0_!!!GO_10Q JULY  2004 _Consolidation_2006_Summary audit" xfId="796"/>
    <cellStyle name="0_!!!GO_10Q JULY  2004 _Consolidation_2006_Summary auditBS &amp; PL" xfId="797"/>
    <cellStyle name="0_!!!GO_10Q JULY  2004 _DeferredTaxLiabilitiesOnFixedAssets" xfId="798"/>
    <cellStyle name="0_!!!GO_10Q JULY  2004 _Management accounts 2006(UPDATED)" xfId="799"/>
    <cellStyle name="0_!!!GO_10Q MAR 2004" xfId="800"/>
    <cellStyle name="0_!!!GO_10Q MAR 2004_A2PLAYWELLWorkings to notes to 6-k Dec 051" xfId="801"/>
    <cellStyle name="0_!!!GO_10Q MAR 2004_Book1" xfId="802"/>
    <cellStyle name="0_!!!GO_10Q MAR 2004_cashflow05K01" xfId="803"/>
    <cellStyle name="0_!!!GO_10Q MAR 2004_Consolidation_2006_Summary (v2) (1)" xfId="804"/>
    <cellStyle name="0_!!!GO_10Q MAR 2004_Consolidation_2006_Summary (v3)" xfId="805"/>
    <cellStyle name="0_!!!GO_10Q MAR 2004_Consolidation_2006_Summary audit" xfId="806"/>
    <cellStyle name="0_!!!GO_10Q MAR 2004_Consolidation_2006_Summary auditBS &amp; PL" xfId="807"/>
    <cellStyle name="0_!!!GO_10Q MAR 2004_DeferredTaxLiabilitiesOnFixedAssets" xfId="808"/>
    <cellStyle name="0_!!!GO_10Q MAR 2004_FA2005schedule" xfId="809"/>
    <cellStyle name="0_!!!GO_10Q MAR 2004_HUAYANGv5(revised by dy)  wORKINGS TO nOITE DEC 3104" xfId="810"/>
    <cellStyle name="0_!!!GO_10Q MAR 2004_HUAYANGWorkings to notes to 6-k FY2005-Consol" xfId="811"/>
    <cellStyle name="0_!!!GO_10Q MAR 2004_KD(5) Workings to notes to 6-k 2005_v17.3.06" xfId="812"/>
    <cellStyle name="0_!!!GO_10Q MAR 2004_KORD Workings to notes to 6-k 2005_v17.3.06" xfId="813"/>
    <cellStyle name="0_!!!GO_10Q MAR 2004_Management accounts 2006(UPDATED)" xfId="814"/>
    <cellStyle name="0_!!!GO_10Q MAR 2004_NOTES TO CASH" xfId="815"/>
    <cellStyle name="0_!!!GO_10Q MAR 2004_October 2005BLANK(PLAYWELL)Workings to notes to 6-k Sept05" xfId="816"/>
    <cellStyle name="0_!!!GO_10Q MAR 2004_PIL RPT movements" xfId="817"/>
    <cellStyle name="0_!!!GO_10Q MAR 2004_PLAYWELL Workings to notes to 6-k Dec 05" xfId="818"/>
    <cellStyle name="0_!!!GO_10Q MAR 2004_PLAYWELL Workings to notes to 6-k June04" xfId="819"/>
    <cellStyle name="0_!!!GO_10Q MAR 2004_Sheet2" xfId="820"/>
    <cellStyle name="0_!!!GO_10Q MAR 2004_Sheet3" xfId="821"/>
    <cellStyle name="0_!!!GO_10Q MAR 2004_Sheet4" xfId="822"/>
    <cellStyle name="0_!!!GO_10Q MAR 2004_Top Lines (AC)" xfId="823"/>
    <cellStyle name="0_!!!GO_10Q MAR 2004_V10Workings to notes to 6-k June05 (2)" xfId="824"/>
    <cellStyle name="0_!!!GO_10Q MAR 2004_V2BLANK(PLAYWELL)Workings to notes to 6-k June05" xfId="825"/>
    <cellStyle name="0_!!!GO_10Q MAR 2004_V2October 19 05Workings to notes to 6-k Sept05" xfId="826"/>
    <cellStyle name="0_!!!GO_10Q MAR 2004_v3march1705KORD Workings to notes to 6-k 2004_v17.3.06" xfId="827"/>
    <cellStyle name="0_!!!GO_10Q MAR 2004_Workings to notes to 6-k FY2005-Consol-V3" xfId="828"/>
    <cellStyle name="0_!!!GO_10Q MAR 2004_Workings to notes to 6-k FY2005-Consol-V37" xfId="829"/>
    <cellStyle name="0_!!!GO_10Q MAR 2004_Workings to notes to 6-k FY2005-Consol-V37(Final)" xfId="830"/>
    <cellStyle name="0_!!!GO_10Q MAR 2004_Workings to notes to 6-k FY2005-Consol-V8" xfId="831"/>
    <cellStyle name="0_!!!GO_10QDEC2004 v3" xfId="832"/>
    <cellStyle name="0_!!!GO_10QDEC2004 v3_(3)Grand US workings December 2005" xfId="833"/>
    <cellStyle name="0_!!!GO_10QDEC2004 v3_(3)Grand US workings December 2005_Book1" xfId="834"/>
    <cellStyle name="0_!!!GO_10QDEC2004 v3_(3)Grand US workings December 2005_Consolidation_2006_Summary (v2) (1)" xfId="835"/>
    <cellStyle name="0_!!!GO_10QDEC2004 v3_(3)Grand US workings December 2005_Consolidation_2006_Summary (v3)" xfId="836"/>
    <cellStyle name="0_!!!GO_10QDEC2004 v3_(3)Grand US workings December 2005_Consolidation_2006_Summary audit" xfId="837"/>
    <cellStyle name="0_!!!GO_10QDEC2004 v3_(3)Grand US workings December 2005_Consolidation_2006_Summary auditBS &amp; PL" xfId="838"/>
    <cellStyle name="0_!!!GO_10QDEC2004 v3_(3)Grand US workings December 2005_DeferredTaxLiabilitiesOnFixedAssets" xfId="839"/>
    <cellStyle name="0_!!!GO_10QDEC2004 v3_(3)Grand US workings December 2005_Management accounts 2006(UPDATED)" xfId="840"/>
    <cellStyle name="0_!!!GO_10QDEC2004 v3_A2PLAYWELLWorkings to notes to 6-k Dec 051" xfId="841"/>
    <cellStyle name="0_!!!GO_10QDEC2004 v3_BLANK(iNT pLAY))(2)Workings to notes to 6-k September051" xfId="842"/>
    <cellStyle name="0_!!!GO_10QDEC2004 v3_BLANK(iNT pLAY))Workings to notes to 6-k June05" xfId="843"/>
    <cellStyle name="0_!!!GO_10QDEC2004 v3_Book1" xfId="844"/>
    <cellStyle name="0_!!!GO_10QDEC2004 v3_cashflow05K01" xfId="845"/>
    <cellStyle name="0_!!!GO_10QDEC2004 v3_consolidation entries 2004" xfId="846"/>
    <cellStyle name="0_!!!GO_10QDEC2004 v3_consolidation entries 2004_Consolidation_2006_Summary (v2) (1)" xfId="847"/>
    <cellStyle name="0_!!!GO_10QDEC2004 v3_consolidation entries 2004_Consolidation_2006_Summary (v3)" xfId="848"/>
    <cellStyle name="0_!!!GO_10QDEC2004 v3_consolidation entries 2004_Consolidation_2006_Summary audit" xfId="849"/>
    <cellStyle name="0_!!!GO_10QDEC2004 v3_consolidation entries 2004_Consolidation_2006_Summary auditBS &amp; PL" xfId="850"/>
    <cellStyle name="0_!!!GO_10QDEC2004 v3_consolidation entries 2004_Management accounts 2006(UPDATED)" xfId="851"/>
    <cellStyle name="0_!!!GO_10QDEC2004 v3_corporate tax entry allocation" xfId="852"/>
    <cellStyle name="0_!!!GO_10QDEC2004 v3_credit risk note" xfId="853"/>
    <cellStyle name="0_!!!GO_10QDEC2004 v3_DeferredTaxLiabilitiesOnFixedAssets" xfId="854"/>
    <cellStyle name="0_!!!GO_10QDEC2004 v3_Detailed Conso july 2005" xfId="855"/>
    <cellStyle name="0_!!!GO_10QDEC2004 v3_Detailed Conso july 2005_Book1" xfId="856"/>
    <cellStyle name="0_!!!GO_10QDEC2004 v3_Detailed Conso july 2005_Consolidation_2006_Summary (v2) (1)" xfId="857"/>
    <cellStyle name="0_!!!GO_10QDEC2004 v3_Detailed Conso july 2005_Consolidation_2006_Summary (v3)" xfId="858"/>
    <cellStyle name="0_!!!GO_10QDEC2004 v3_Detailed Conso july 2005_Consolidation_2006_Summary audit" xfId="859"/>
    <cellStyle name="0_!!!GO_10QDEC2004 v3_Detailed Conso july 2005_Consolidation_2006_Summary auditBS &amp; PL" xfId="860"/>
    <cellStyle name="0_!!!GO_10QDEC2004 v3_Detailed Conso july 2005_DeferredTaxLiabilitiesOnFixedAssets" xfId="861"/>
    <cellStyle name="0_!!!GO_10QDEC2004 v3_Detailed Conso july 2005_Management accounts 2006(UPDATED)" xfId="862"/>
    <cellStyle name="0_!!!GO_10QDEC2004 v3_FA2005schedule" xfId="863"/>
    <cellStyle name="0_!!!GO_10QDEC2004 v3_Grand US workings December 2005" xfId="864"/>
    <cellStyle name="0_!!!GO_10QDEC2004 v3_Grand US workings December 2005_Book1" xfId="865"/>
    <cellStyle name="0_!!!GO_10QDEC2004 v3_Grand US workings December 2005_Consolidation_2006_Summary (v2) (1)" xfId="866"/>
    <cellStyle name="0_!!!GO_10QDEC2004 v3_Grand US workings December 2005_Consolidation_2006_Summary (v3)" xfId="867"/>
    <cellStyle name="0_!!!GO_10QDEC2004 v3_Grand US workings December 2005_Consolidation_2006_Summary audit" xfId="868"/>
    <cellStyle name="0_!!!GO_10QDEC2004 v3_Grand US workings December 2005_Consolidation_2006_Summary auditBS &amp; PL" xfId="869"/>
    <cellStyle name="0_!!!GO_10QDEC2004 v3_Grand US workings December 2005_DeferredTaxLiabilitiesOnFixedAssets" xfId="870"/>
    <cellStyle name="0_!!!GO_10QDEC2004 v3_Grand US workings December 2005_Management accounts 2006(UPDATED)" xfId="871"/>
    <cellStyle name="0_!!!GO_10QDEC2004 v3_Grand US workings June2005" xfId="872"/>
    <cellStyle name="0_!!!GO_10QDEC2004 v3_Grand US workings June2005_Book1" xfId="873"/>
    <cellStyle name="0_!!!GO_10QDEC2004 v3_Grand US workings June2005_Consolidation_2006_Summary (v2) (1)" xfId="874"/>
    <cellStyle name="0_!!!GO_10QDEC2004 v3_Grand US workings June2005_Consolidation_2006_Summary (v3)" xfId="875"/>
    <cellStyle name="0_!!!GO_10QDEC2004 v3_Grand US workings June2005_Consolidation_2006_Summary audit" xfId="876"/>
    <cellStyle name="0_!!!GO_10QDEC2004 v3_Grand US workings June2005_Consolidation_2006_Summary auditBS &amp; PL" xfId="877"/>
    <cellStyle name="0_!!!GO_10QDEC2004 v3_Grand US workings June2005_DeferredTaxLiabilitiesOnFixedAssets" xfId="878"/>
    <cellStyle name="0_!!!GO_10QDEC2004 v3_Grand US workings June2005_Management accounts 2006(UPDATED)" xfId="879"/>
    <cellStyle name="0_!!!GO_10QDEC2004 v3_Grand US workings June2005_V10Workings to notes to 6-k June05 (2)" xfId="880"/>
    <cellStyle name="0_!!!GO_10QDEC2004 v3_HUAYANGv5(revised by dy)  wORKINGS TO nOITE DEC 3104" xfId="881"/>
    <cellStyle name="0_!!!GO_10QDEC2004 v3_HUAYANGWorkings to notes to 6-k FY2005-Consol" xfId="882"/>
    <cellStyle name="0_!!!GO_10QDEC2004 v3_Inventory  AR March 31 2005" xfId="883"/>
    <cellStyle name="0_!!!GO_10QDEC2004 v3_KD(5) Workings to notes to 6-k 2005_v17.3.06" xfId="884"/>
    <cellStyle name="0_!!!GO_10QDEC2004 v3_KORD Workings to notes to 6-k 2005_v17.3.06" xfId="885"/>
    <cellStyle name="0_!!!GO_10QDEC2004 v3_NOTES TO CASH" xfId="886"/>
    <cellStyle name="0_!!!GO_10QDEC2004 v3_October 2005BLANK(PLAYWELL)Workings to notes to 6-k Sept05" xfId="887"/>
    <cellStyle name="0_!!!GO_10QDEC2004 v3_OPTIONS  RECAPjune10,2005updated" xfId="888"/>
    <cellStyle name="0_!!!GO_10QDEC2004 v3_PIL RPT movements" xfId="889"/>
    <cellStyle name="0_!!!GO_10QDEC2004 v3_PLAYWELL Workings to notes to 6-k Dec 05" xfId="890"/>
    <cellStyle name="0_!!!GO_10QDEC2004 v3_PLAYWELL Workings to notes to 6-k June04" xfId="891"/>
    <cellStyle name="0_!!!GO_10QDEC2004 v3_Rpt, AGING, product lines" xfId="892"/>
    <cellStyle name="0_!!!GO_10QDEC2004 v3_Sheet2" xfId="893"/>
    <cellStyle name="0_!!!GO_10QDEC2004 v3_Sheet3" xfId="894"/>
    <cellStyle name="0_!!!GO_10QDEC2004 v3_Sheet4" xfId="895"/>
    <cellStyle name="0_!!!GO_10QDEC2004 v3_Top Lines (AC)" xfId="896"/>
    <cellStyle name="0_!!!GO_10QDEC2004 v3_V1 Dec 2005  1" xfId="897"/>
    <cellStyle name="0_!!!GO_10QDEC2004 v3_V1 July05 " xfId="898"/>
    <cellStyle name="0_!!!GO_10QDEC2004 v3_V10Workings to notes to 6-k June05 (2)" xfId="899"/>
    <cellStyle name="0_!!!GO_10QDEC2004 v3_V11workings to notes to 2004 inc HY and KD1" xfId="900"/>
    <cellStyle name="0_!!!GO_10QDEC2004 v3_V11workings to notes to 2004 inc HY and KD1_Book1" xfId="901"/>
    <cellStyle name="0_!!!GO_10QDEC2004 v3_V11workings to notes to 2004 inc HY and KD1_Consolidation_2006_Summary (v2) (1)" xfId="902"/>
    <cellStyle name="0_!!!GO_10QDEC2004 v3_V11workings to notes to 2004 inc HY and KD1_Consolidation_2006_Summary (v3)" xfId="903"/>
    <cellStyle name="0_!!!GO_10QDEC2004 v3_V11workings to notes to 2004 inc HY and KD1_Consolidation_2006_Summary audit" xfId="904"/>
    <cellStyle name="0_!!!GO_10QDEC2004 v3_V11workings to notes to 2004 inc HY and KD1_Consolidation_2006_Summary auditBS &amp; PL" xfId="905"/>
    <cellStyle name="0_!!!GO_10QDEC2004 v3_V11workings to notes to 2004 inc HY and KD1_DeferredTaxLiabilitiesOnFixedAssets" xfId="906"/>
    <cellStyle name="0_!!!GO_10QDEC2004 v3_V11workings to notes to 2004 inc HY and KD1_Management accounts 2006(UPDATED)" xfId="907"/>
    <cellStyle name="0_!!!GO_10QDEC2004 v3_V14 Dec 2005  1" xfId="908"/>
    <cellStyle name="0_!!!GO_10QDEC2004 v3_V18 Dec 2005 TC" xfId="909"/>
    <cellStyle name="0_!!!GO_10QDEC2004 v3_V29workings to notes to 2004 inc HY and KD1(1)" xfId="910"/>
    <cellStyle name="0_!!!GO_10QDEC2004 v3_V29workings to notes to 2004 inc HY and KD1(1)_Book1" xfId="911"/>
    <cellStyle name="0_!!!GO_10QDEC2004 v3_V29workings to notes to 2004 inc HY and KD1(1)_Consolidation_2006_Summary (v2) (1)" xfId="912"/>
    <cellStyle name="0_!!!GO_10QDEC2004 v3_V29workings to notes to 2004 inc HY and KD1(1)_Consolidation_2006_Summary (v3)" xfId="913"/>
    <cellStyle name="0_!!!GO_10QDEC2004 v3_V29workings to notes to 2004 inc HY and KD1(1)_Consolidation_2006_Summary audit" xfId="914"/>
    <cellStyle name="0_!!!GO_10QDEC2004 v3_V29workings to notes to 2004 inc HY and KD1(1)_Consolidation_2006_Summary auditBS &amp; PL" xfId="915"/>
    <cellStyle name="0_!!!GO_10QDEC2004 v3_V29workings to notes to 2004 inc HY and KD1(1)_DeferredTaxLiabilitiesOnFixedAssets" xfId="916"/>
    <cellStyle name="0_!!!GO_10QDEC2004 v3_V29workings to notes to 2004 inc HY and KD1(1)_Management accounts 2006(UPDATED)" xfId="917"/>
    <cellStyle name="0_!!!GO_10QDEC2004 v3_V2BLANK(PLAYWELL)Workings to notes to 6-k June05" xfId="918"/>
    <cellStyle name="0_!!!GO_10QDEC2004 v3_V2Dec 2005  1" xfId="919"/>
    <cellStyle name="0_!!!GO_10QDEC2004 v3_V2DSep2005 " xfId="920"/>
    <cellStyle name="0_!!!GO_10QDEC2004 v3_V2FSep2005 tc" xfId="921"/>
    <cellStyle name="0_!!!GO_10QDEC2004 v3_V2ISep2005 " xfId="922"/>
    <cellStyle name="0_!!!GO_10QDEC2004 v3_V2October 19 05Workings to notes to 6-k Sept05" xfId="923"/>
    <cellStyle name="0_!!!GO_10QDEC2004 v3_V30workings to notes to 2004 inc HY and KD1(1)" xfId="924"/>
    <cellStyle name="0_!!!GO_10QDEC2004 v3_V30workings to notes to 2004 inc HY and KD1(1)_Book1" xfId="925"/>
    <cellStyle name="0_!!!GO_10QDEC2004 v3_V30workings to notes to 2004 inc HY and KD1(1)_Consolidation_2006_Summary (v2) (1)" xfId="926"/>
    <cellStyle name="0_!!!GO_10QDEC2004 v3_V30workings to notes to 2004 inc HY and KD1(1)_Consolidation_2006_Summary (v3)" xfId="927"/>
    <cellStyle name="0_!!!GO_10QDEC2004 v3_V30workings to notes to 2004 inc HY and KD1(1)_Consolidation_2006_Summary audit" xfId="928"/>
    <cellStyle name="0_!!!GO_10QDEC2004 v3_V30workings to notes to 2004 inc HY and KD1(1)_Consolidation_2006_Summary auditBS &amp; PL" xfId="929"/>
    <cellStyle name="0_!!!GO_10QDEC2004 v3_V30workings to notes to 2004 inc HY and KD1(1)_DeferredTaxLiabilitiesOnFixedAssets" xfId="930"/>
    <cellStyle name="0_!!!GO_10QDEC2004 v3_V30workings to notes to 2004 inc HY and KD1(1)_Management accounts 2006(UPDATED)" xfId="931"/>
    <cellStyle name="0_!!!GO_10QDEC2004 v3_V31 Dec 2005 " xfId="932"/>
    <cellStyle name="0_!!!GO_10QDEC2004 v3_V31(2) Dec 2005 (2)" xfId="933"/>
    <cellStyle name="0_!!!GO_10QDEC2004 v3_V32(2) (2004)" xfId="934"/>
    <cellStyle name="0_!!!GO_10QDEC2004 v3_V32(2) (2004)_Consolidation_2006_Summary (v2) (1)" xfId="935"/>
    <cellStyle name="0_!!!GO_10QDEC2004 v3_V32(2) (2004)_Consolidation_2006_Summary (v3)" xfId="936"/>
    <cellStyle name="0_!!!GO_10QDEC2004 v3_V32(2) (2004)_Consolidation_2006_Summary audit" xfId="937"/>
    <cellStyle name="0_!!!GO_10QDEC2004 v3_V32(2) (2004)_Consolidation_2006_Summary auditBS &amp; PL" xfId="938"/>
    <cellStyle name="0_!!!GO_10QDEC2004 v3_V32(2) (2004)_Management accounts 2006(UPDATED)" xfId="939"/>
    <cellStyle name="0_!!!GO_10QDEC2004 v3_V32(3) (2004)" xfId="940"/>
    <cellStyle name="0_!!!GO_10QDEC2004 v3_V32(3) (2004)_Consolidation_2006_Summary (v2) (1)" xfId="941"/>
    <cellStyle name="0_!!!GO_10QDEC2004 v3_V32(3) (2004)_Consolidation_2006_Summary (v3)" xfId="942"/>
    <cellStyle name="0_!!!GO_10QDEC2004 v3_V32(3) (2004)_Consolidation_2006_Summary audit" xfId="943"/>
    <cellStyle name="0_!!!GO_10QDEC2004 v3_V32(3) (2004)_Consolidation_2006_Summary auditBS &amp; PL" xfId="944"/>
    <cellStyle name="0_!!!GO_10QDEC2004 v3_V32(3) (2004)_Management accounts 2006(UPDATED)" xfId="945"/>
    <cellStyle name="0_!!!GO_10QDEC2004 v3_V32(7) (2004)fixed as per DTT" xfId="946"/>
    <cellStyle name="0_!!!GO_10QDEC2004 v3_V32(7) (2004)fixed as per DTT_Consolidation_2006_Summary (v2) (1)" xfId="947"/>
    <cellStyle name="0_!!!GO_10QDEC2004 v3_V32(7) (2004)fixed as per DTT_Consolidation_2006_Summary (v3)" xfId="948"/>
    <cellStyle name="0_!!!GO_10QDEC2004 v3_V32(7) (2004)fixed as per DTT_Consolidation_2006_Summary audit" xfId="949"/>
    <cellStyle name="0_!!!GO_10QDEC2004 v3_V32(7) (2004)fixed as per DTT_Consolidation_2006_Summary auditBS &amp; PL" xfId="950"/>
    <cellStyle name="0_!!!GO_10QDEC2004 v3_V32(7) (2004)fixed as per DTT_Management accounts 2006(UPDATED)" xfId="951"/>
    <cellStyle name="0_!!!GO_10QDEC2004 v3_V32(9) DTT(2004)as per DTTNov 1306" xfId="952"/>
    <cellStyle name="0_!!!GO_10QDEC2004 v3_V32(9) DTT(2004)as per DTTNov 1306_Consolidation_2006_Summary (v2) (1)" xfId="953"/>
    <cellStyle name="0_!!!GO_10QDEC2004 v3_V32(9) DTT(2004)as per DTTNov 1306_Consolidation_2006_Summary (v3)" xfId="954"/>
    <cellStyle name="0_!!!GO_10QDEC2004 v3_V32(9) DTT(2004)as per DTTNov 1306_Consolidation_2006_Summary audit" xfId="955"/>
    <cellStyle name="0_!!!GO_10QDEC2004 v3_V32(9) DTT(2004)as per DTTNov 1306_Consolidation_2006_Summary auditBS &amp; PL" xfId="956"/>
    <cellStyle name="0_!!!GO_10QDEC2004 v3_V32(9) DTT(2004)as per DTTNov 1306_Management accounts 2006(UPDATED)" xfId="957"/>
    <cellStyle name="0_!!!GO_10QDEC2004 v3_V38(5)(2005) " xfId="958"/>
    <cellStyle name="0_!!!GO_10QDEC2004 v3_V38(8)(2005)fixed as per DTT " xfId="959"/>
    <cellStyle name="0_!!!GO_10QDEC2004 v3_V39(2005) " xfId="960"/>
    <cellStyle name="0_!!!GO_10QDEC2004 v3_v3march1705KORD Workings to notes to 6-k 2004_v17.3.06" xfId="961"/>
    <cellStyle name="0_!!!GO_10QDEC2004 v3_V4Dec 2005  1" xfId="962"/>
    <cellStyle name="0_!!!GO_10QDEC2004 v3_V8TCWorkings to notes to 6-k June05" xfId="963"/>
    <cellStyle name="0_!!!GO_10QDEC2004 v3_Workings to notes to 20F" xfId="964"/>
    <cellStyle name="0_!!!GO_10QDEC2004 v3_Workings to notes to 20F(v3)" xfId="965"/>
    <cellStyle name="0_!!!GO_10QDEC2004 v3_Workings to notes to 20F_(3)Grand US workings December 2005" xfId="966"/>
    <cellStyle name="0_!!!GO_10QDEC2004 v3_Workings to notes to 20F_(3)Grand US workings December 2005_Book1" xfId="967"/>
    <cellStyle name="0_!!!GO_10QDEC2004 v3_Workings to notes to 20F_(3)Grand US workings December 2005_Consolidation_2006_Summary (v2) (1)" xfId="968"/>
    <cellStyle name="0_!!!GO_10QDEC2004 v3_Workings to notes to 20F_(3)Grand US workings December 2005_Consolidation_2006_Summary (v3)" xfId="969"/>
    <cellStyle name="0_!!!GO_10QDEC2004 v3_Workings to notes to 20F_(3)Grand US workings December 2005_Consolidation_2006_Summary audit" xfId="970"/>
    <cellStyle name="0_!!!GO_10QDEC2004 v3_Workings to notes to 20F_(3)Grand US workings December 2005_Consolidation_2006_Summary auditBS &amp; PL" xfId="971"/>
    <cellStyle name="0_!!!GO_10QDEC2004 v3_Workings to notes to 20F_(3)Grand US workings December 2005_DeferredTaxLiabilitiesOnFixedAssets" xfId="972"/>
    <cellStyle name="0_!!!GO_10QDEC2004 v3_Workings to notes to 20F_(3)Grand US workings December 2005_Management accounts 2006(UPDATED)" xfId="973"/>
    <cellStyle name="0_!!!GO_10QDEC2004 v3_Workings to notes to 20F_A2PLAYWELLWorkings to notes to 6-k Dec 051" xfId="974"/>
    <cellStyle name="0_!!!GO_10QDEC2004 v3_Workings to notes to 20F_BLANK(iNT pLAY))(2)Workings to notes to 6-k September051" xfId="975"/>
    <cellStyle name="0_!!!GO_10QDEC2004 v3_Workings to notes to 20F_BLANK(iNT pLAY))Workings to notes to 6-k June05" xfId="976"/>
    <cellStyle name="0_!!!GO_10QDEC2004 v3_Workings to notes to 20F_Book1" xfId="977"/>
    <cellStyle name="0_!!!GO_10QDEC2004 v3_Workings to notes to 20F_cashflow05K01" xfId="978"/>
    <cellStyle name="0_!!!GO_10QDEC2004 v3_Workings to notes to 20F_consolidation entries 2004" xfId="979"/>
    <cellStyle name="0_!!!GO_10QDEC2004 v3_Workings to notes to 20F_consolidation entries 2004_Consolidation_2006_Summary (v2) (1)" xfId="980"/>
    <cellStyle name="0_!!!GO_10QDEC2004 v3_Workings to notes to 20F_consolidation entries 2004_Consolidation_2006_Summary (v3)" xfId="981"/>
    <cellStyle name="0_!!!GO_10QDEC2004 v3_Workings to notes to 20F_consolidation entries 2004_Consolidation_2006_Summary audit" xfId="982"/>
    <cellStyle name="0_!!!GO_10QDEC2004 v3_Workings to notes to 20F_consolidation entries 2004_Consolidation_2006_Summary auditBS &amp; PL" xfId="983"/>
    <cellStyle name="0_!!!GO_10QDEC2004 v3_Workings to notes to 20F_consolidation entries 2004_Management accounts 2006(UPDATED)" xfId="984"/>
    <cellStyle name="0_!!!GO_10QDEC2004 v3_Workings to notes to 20F_corporate tax entry allocation" xfId="985"/>
    <cellStyle name="0_!!!GO_10QDEC2004 v3_Workings to notes to 20F_DeferredTaxLiabilitiesOnFixedAssets" xfId="986"/>
    <cellStyle name="0_!!!GO_10QDEC2004 v3_Workings to notes to 20F_Detailed Conso july 2005" xfId="987"/>
    <cellStyle name="0_!!!GO_10QDEC2004 v3_Workings to notes to 20F_Detailed Conso july 2005_Book1" xfId="988"/>
    <cellStyle name="0_!!!GO_10QDEC2004 v3_Workings to notes to 20F_Detailed Conso july 2005_Consolidation_2006_Summary (v2) (1)" xfId="989"/>
    <cellStyle name="0_!!!GO_10QDEC2004 v3_Workings to notes to 20F_Detailed Conso july 2005_Consolidation_2006_Summary (v3)" xfId="990"/>
    <cellStyle name="0_!!!GO_10QDEC2004 v3_Workings to notes to 20F_Detailed Conso july 2005_Consolidation_2006_Summary audit" xfId="991"/>
    <cellStyle name="0_!!!GO_10QDEC2004 v3_Workings to notes to 20F_Detailed Conso july 2005_Consolidation_2006_Summary auditBS &amp; PL" xfId="992"/>
    <cellStyle name="0_!!!GO_10QDEC2004 v3_Workings to notes to 20F_Detailed Conso july 2005_DeferredTaxLiabilitiesOnFixedAssets" xfId="993"/>
    <cellStyle name="0_!!!GO_10QDEC2004 v3_Workings to notes to 20F_Detailed Conso july 2005_Management accounts 2006(UPDATED)" xfId="994"/>
    <cellStyle name="0_!!!GO_10QDEC2004 v3_Workings to notes to 20F_FA2005schedule" xfId="995"/>
    <cellStyle name="0_!!!GO_10QDEC2004 v3_Workings to notes to 20F_Grand US workings December 2005" xfId="996"/>
    <cellStyle name="0_!!!GO_10QDEC2004 v3_Workings to notes to 20F_Grand US workings December 2005_Book1" xfId="997"/>
    <cellStyle name="0_!!!GO_10QDEC2004 v3_Workings to notes to 20F_Grand US workings December 2005_Consolidation_2006_Summary (v2) (1)" xfId="998"/>
    <cellStyle name="0_!!!GO_10QDEC2004 v3_Workings to notes to 20F_Grand US workings December 2005_Consolidation_2006_Summary (v3)" xfId="999"/>
    <cellStyle name="0_!!!GO_10QDEC2004 v3_Workings to notes to 20F_Grand US workings December 2005_Consolidation_2006_Summary audit" xfId="1000"/>
    <cellStyle name="0_!!!GO_10QDEC2004 v3_Workings to notes to 20F_Grand US workings December 2005_Consolidation_2006_Summary auditBS &amp; PL" xfId="1001"/>
    <cellStyle name="0_!!!GO_10QDEC2004 v3_Workings to notes to 20F_Grand US workings December 2005_DeferredTaxLiabilitiesOnFixedAssets" xfId="1002"/>
    <cellStyle name="0_!!!GO_10QDEC2004 v3_Workings to notes to 20F_Grand US workings December 2005_Management accounts 2006(UPDATED)" xfId="1003"/>
    <cellStyle name="0_!!!GO_10QDEC2004 v3_Workings to notes to 20F_Grand US workings June2005" xfId="1004"/>
    <cellStyle name="0_!!!GO_10QDEC2004 v3_Workings to notes to 20F_Grand US workings June2005_Book1" xfId="1005"/>
    <cellStyle name="0_!!!GO_10QDEC2004 v3_Workings to notes to 20F_Grand US workings June2005_Consolidation_2006_Summary (v2) (1)" xfId="1006"/>
    <cellStyle name="0_!!!GO_10QDEC2004 v3_Workings to notes to 20F_Grand US workings June2005_Consolidation_2006_Summary (v3)" xfId="1007"/>
    <cellStyle name="0_!!!GO_10QDEC2004 v3_Workings to notes to 20F_Grand US workings June2005_Consolidation_2006_Summary audit" xfId="1008"/>
    <cellStyle name="0_!!!GO_10QDEC2004 v3_Workings to notes to 20F_Grand US workings June2005_Consolidation_2006_Summary auditBS &amp; PL" xfId="1009"/>
    <cellStyle name="0_!!!GO_10QDEC2004 v3_Workings to notes to 20F_Grand US workings June2005_DeferredTaxLiabilitiesOnFixedAssets" xfId="1010"/>
    <cellStyle name="0_!!!GO_10QDEC2004 v3_Workings to notes to 20F_Grand US workings June2005_Management accounts 2006(UPDATED)" xfId="1011"/>
    <cellStyle name="0_!!!GO_10QDEC2004 v3_Workings to notes to 20F_Grand US workings June2005_V10Workings to notes to 6-k June05 (2)" xfId="1012"/>
    <cellStyle name="0_!!!GO_10QDEC2004 v3_Workings to notes to 20F_HUAYANGv5(revised by dy)  wORKINGS TO nOITE DEC 3104" xfId="1013"/>
    <cellStyle name="0_!!!GO_10QDEC2004 v3_Workings to notes to 20F_HUAYANGWorkings to notes to 6-k FY2005-Consol" xfId="1014"/>
    <cellStyle name="0_!!!GO_10QDEC2004 v3_Workings to notes to 20F_Inventory  AR March 31 2005" xfId="1015"/>
    <cellStyle name="0_!!!GO_10QDEC2004 v3_Workings to notes to 20F_KD(5) Workings to notes to 6-k 2005_v17.3.06" xfId="1016"/>
    <cellStyle name="0_!!!GO_10QDEC2004 v3_Workings to notes to 20F_KORD Workings to notes to 6-k 2005_v17.3.06" xfId="1017"/>
    <cellStyle name="0_!!!GO_10QDEC2004 v3_Workings to notes to 20F_NOTES TO CASH" xfId="1018"/>
    <cellStyle name="0_!!!GO_10QDEC2004 v3_Workings to notes to 20F_October 2005BLANK(PLAYWELL)Workings to notes to 6-k Sept05" xfId="1019"/>
    <cellStyle name="0_!!!GO_10QDEC2004 v3_Workings to notes to 20F_OPTIONS  RECAPjune10,2005updated" xfId="1020"/>
    <cellStyle name="0_!!!GO_10QDEC2004 v3_Workings to notes to 20F_PIL RPT movements" xfId="1021"/>
    <cellStyle name="0_!!!GO_10QDEC2004 v3_Workings to notes to 20F_PLAYWELL Workings to notes to 6-k Dec 05" xfId="1022"/>
    <cellStyle name="0_!!!GO_10QDEC2004 v3_Workings to notes to 20F_PLAYWELL Workings to notes to 6-k June04" xfId="1023"/>
    <cellStyle name="0_!!!GO_10QDEC2004 v3_Workings to notes to 20F_Sheet2" xfId="1024"/>
    <cellStyle name="0_!!!GO_10QDEC2004 v3_Workings to notes to 20F_Sheet3" xfId="1025"/>
    <cellStyle name="0_!!!GO_10QDEC2004 v3_Workings to notes to 20F_Sheet4" xfId="1026"/>
    <cellStyle name="0_!!!GO_10QDEC2004 v3_Workings to notes to 20F_Top Lines (AC)" xfId="1027"/>
    <cellStyle name="0_!!!GO_10QDEC2004 v3_Workings to notes to 20F_V1 Dec 2005  1" xfId="1028"/>
    <cellStyle name="0_!!!GO_10QDEC2004 v3_Workings to notes to 20F_V1 July05 " xfId="1029"/>
    <cellStyle name="0_!!!GO_10QDEC2004 v3_Workings to notes to 20F_V10Workings to notes to 6-k June05 (2)" xfId="1030"/>
    <cellStyle name="0_!!!GO_10QDEC2004 v3_Workings to notes to 20F_V11workings to notes to 2004 inc HY and KD1" xfId="1031"/>
    <cellStyle name="0_!!!GO_10QDEC2004 v3_Workings to notes to 20F_V11workings to notes to 2004 inc HY and KD1_Book1" xfId="1032"/>
    <cellStyle name="0_!!!GO_10QDEC2004 v3_Workings to notes to 20F_V11workings to notes to 2004 inc HY and KD1_Consolidation_2006_Summary (v2) (1)" xfId="1033"/>
    <cellStyle name="0_!!!GO_10QDEC2004 v3_Workings to notes to 20F_V11workings to notes to 2004 inc HY and KD1_Consolidation_2006_Summary (v3)" xfId="1034"/>
    <cellStyle name="0_!!!GO_10QDEC2004 v3_Workings to notes to 20F_V11workings to notes to 2004 inc HY and KD1_Consolidation_2006_Summary audit" xfId="1035"/>
    <cellStyle name="0_!!!GO_10QDEC2004 v3_Workings to notes to 20F_V11workings to notes to 2004 inc HY and KD1_Consolidation_2006_Summary auditBS &amp; PL" xfId="1036"/>
    <cellStyle name="0_!!!GO_10QDEC2004 v3_Workings to notes to 20F_V11workings to notes to 2004 inc HY and KD1_DeferredTaxLiabilitiesOnFixedAssets" xfId="1037"/>
    <cellStyle name="0_!!!GO_10QDEC2004 v3_Workings to notes to 20F_V11workings to notes to 2004 inc HY and KD1_Management accounts 2006(UPDATED)" xfId="1038"/>
    <cellStyle name="0_!!!GO_10QDEC2004 v3_Workings to notes to 20F_V14 Dec 2005  1" xfId="1039"/>
    <cellStyle name="0_!!!GO_10QDEC2004 v3_Workings to notes to 20F_V18 Dec 2005 TC" xfId="1040"/>
    <cellStyle name="0_!!!GO_10QDEC2004 v3_Workings to notes to 20F_V29workings to notes to 2004 inc HY and KD1(1)" xfId="1041"/>
    <cellStyle name="0_!!!GO_10QDEC2004 v3_Workings to notes to 20F_V29workings to notes to 2004 inc HY and KD1(1)_Book1" xfId="1042"/>
    <cellStyle name="0_!!!GO_10QDEC2004 v3_Workings to notes to 20F_V29workings to notes to 2004 inc HY and KD1(1)_Consolidation_2006_Summary (v2) (1)" xfId="1043"/>
    <cellStyle name="0_!!!GO_10QDEC2004 v3_Workings to notes to 20F_V29workings to notes to 2004 inc HY and KD1(1)_Consolidation_2006_Summary (v3)" xfId="1044"/>
    <cellStyle name="0_!!!GO_10QDEC2004 v3_Workings to notes to 20F_V29workings to notes to 2004 inc HY and KD1(1)_Consolidation_2006_Summary audit" xfId="1045"/>
    <cellStyle name="0_!!!GO_10QDEC2004 v3_Workings to notes to 20F_V29workings to notes to 2004 inc HY and KD1(1)_Consolidation_2006_Summary auditBS &amp; PL" xfId="1046"/>
    <cellStyle name="0_!!!GO_10QDEC2004 v3_Workings to notes to 20F_V29workings to notes to 2004 inc HY and KD1(1)_DeferredTaxLiabilitiesOnFixedAssets" xfId="1047"/>
    <cellStyle name="0_!!!GO_10QDEC2004 v3_Workings to notes to 20F_V29workings to notes to 2004 inc HY and KD1(1)_Management accounts 2006(UPDATED)" xfId="1048"/>
    <cellStyle name="0_!!!GO_10QDEC2004 v3_Workings to notes to 20F_V2BLANK(PLAYWELL)Workings to notes to 6-k June05" xfId="1049"/>
    <cellStyle name="0_!!!GO_10QDEC2004 v3_Workings to notes to 20F_V2Dec 2005  1" xfId="1050"/>
    <cellStyle name="0_!!!GO_10QDEC2004 v3_Workings to notes to 20F_V2DSep2005 " xfId="1051"/>
    <cellStyle name="0_!!!GO_10QDEC2004 v3_Workings to notes to 20F_V2FSep2005 tc" xfId="1052"/>
    <cellStyle name="0_!!!GO_10QDEC2004 v3_Workings to notes to 20F_V2ISep2005 " xfId="1053"/>
    <cellStyle name="0_!!!GO_10QDEC2004 v3_Workings to notes to 20F_V2October 19 05Workings to notes to 6-k Sept05" xfId="1054"/>
    <cellStyle name="0_!!!GO_10QDEC2004 v3_Workings to notes to 20F_V30workings to notes to 2004 inc HY and KD1(1)" xfId="1055"/>
    <cellStyle name="0_!!!GO_10QDEC2004 v3_Workings to notes to 20F_V30workings to notes to 2004 inc HY and KD1(1)_Book1" xfId="1056"/>
    <cellStyle name="0_!!!GO_10QDEC2004 v3_Workings to notes to 20F_V30workings to notes to 2004 inc HY and KD1(1)_Consolidation_2006_Summary (v2) (1)" xfId="1057"/>
    <cellStyle name="0_!!!GO_10QDEC2004 v3_Workings to notes to 20F_V30workings to notes to 2004 inc HY and KD1(1)_Consolidation_2006_Summary (v3)" xfId="1058"/>
    <cellStyle name="0_!!!GO_10QDEC2004 v3_Workings to notes to 20F_V30workings to notes to 2004 inc HY and KD1(1)_Consolidation_2006_Summary audit" xfId="1059"/>
    <cellStyle name="0_!!!GO_10QDEC2004 v3_Workings to notes to 20F_V30workings to notes to 2004 inc HY and KD1(1)_Consolidation_2006_Summary auditBS &amp; PL" xfId="1060"/>
    <cellStyle name="0_!!!GO_10QDEC2004 v3_Workings to notes to 20F_V30workings to notes to 2004 inc HY and KD1(1)_DeferredTaxLiabilitiesOnFixedAssets" xfId="1061"/>
    <cellStyle name="0_!!!GO_10QDEC2004 v3_Workings to notes to 20F_V30workings to notes to 2004 inc HY and KD1(1)_Management accounts 2006(UPDATED)" xfId="1062"/>
    <cellStyle name="0_!!!GO_10QDEC2004 v3_Workings to notes to 20F_V31 Dec 2005 " xfId="1063"/>
    <cellStyle name="0_!!!GO_10QDEC2004 v3_Workings to notes to 20F_V31(2) Dec 2005 (2)" xfId="1064"/>
    <cellStyle name="0_!!!GO_10QDEC2004 v3_Workings to notes to 20F_V32(2) (2004)" xfId="1065"/>
    <cellStyle name="0_!!!GO_10QDEC2004 v3_Workings to notes to 20F_V32(2) (2004)_Consolidation_2006_Summary (v2) (1)" xfId="1066"/>
    <cellStyle name="0_!!!GO_10QDEC2004 v3_Workings to notes to 20F_V32(2) (2004)_Consolidation_2006_Summary (v3)" xfId="1067"/>
    <cellStyle name="0_!!!GO_10QDEC2004 v3_Workings to notes to 20F_V32(2) (2004)_Consolidation_2006_Summary audit" xfId="1068"/>
    <cellStyle name="0_!!!GO_10QDEC2004 v3_Workings to notes to 20F_V32(2) (2004)_Consolidation_2006_Summary auditBS &amp; PL" xfId="1069"/>
    <cellStyle name="0_!!!GO_10QDEC2004 v3_Workings to notes to 20F_V32(2) (2004)_Management accounts 2006(UPDATED)" xfId="1070"/>
    <cellStyle name="0_!!!GO_10QDEC2004 v3_Workings to notes to 20F_V32(3) (2004)" xfId="1071"/>
    <cellStyle name="0_!!!GO_10QDEC2004 v3_Workings to notes to 20F_V32(3) (2004)_Consolidation_2006_Summary (v2) (1)" xfId="1072"/>
    <cellStyle name="0_!!!GO_10QDEC2004 v3_Workings to notes to 20F_V32(3) (2004)_Consolidation_2006_Summary (v3)" xfId="1073"/>
    <cellStyle name="0_!!!GO_10QDEC2004 v3_Workings to notes to 20F_V32(3) (2004)_Consolidation_2006_Summary audit" xfId="1074"/>
    <cellStyle name="0_!!!GO_10QDEC2004 v3_Workings to notes to 20F_V32(3) (2004)_Consolidation_2006_Summary auditBS &amp; PL" xfId="1075"/>
    <cellStyle name="0_!!!GO_10QDEC2004 v3_Workings to notes to 20F_V32(3) (2004)_Management accounts 2006(UPDATED)" xfId="1076"/>
    <cellStyle name="0_!!!GO_10QDEC2004 v3_Workings to notes to 20F_V32(7) (2004)fixed as per DTT" xfId="1077"/>
    <cellStyle name="0_!!!GO_10QDEC2004 v3_Workings to notes to 20F_V32(7) (2004)fixed as per DTT_Consolidation_2006_Summary (v2) (1)" xfId="1078"/>
    <cellStyle name="0_!!!GO_10QDEC2004 v3_Workings to notes to 20F_V32(7) (2004)fixed as per DTT_Consolidation_2006_Summary (v3)" xfId="1079"/>
    <cellStyle name="0_!!!GO_10QDEC2004 v3_Workings to notes to 20F_V32(7) (2004)fixed as per DTT_Consolidation_2006_Summary audit" xfId="1080"/>
    <cellStyle name="0_!!!GO_10QDEC2004 v3_Workings to notes to 20F_V32(7) (2004)fixed as per DTT_Consolidation_2006_Summary auditBS &amp; PL" xfId="1081"/>
    <cellStyle name="0_!!!GO_10QDEC2004 v3_Workings to notes to 20F_V32(7) (2004)fixed as per DTT_Management accounts 2006(UPDATED)" xfId="1082"/>
    <cellStyle name="0_!!!GO_10QDEC2004 v3_Workings to notes to 20F_V32(9) DTT(2004)as per DTTNov 1306" xfId="1083"/>
    <cellStyle name="0_!!!GO_10QDEC2004 v3_Workings to notes to 20F_V32(9) DTT(2004)as per DTTNov 1306_Consolidation_2006_Summary (v2) (1)" xfId="1084"/>
    <cellStyle name="0_!!!GO_10QDEC2004 v3_Workings to notes to 20F_V32(9) DTT(2004)as per DTTNov 1306_Consolidation_2006_Summary (v3)" xfId="1085"/>
    <cellStyle name="0_!!!GO_10QDEC2004 v3_Workings to notes to 20F_V32(9) DTT(2004)as per DTTNov 1306_Consolidation_2006_Summary audit" xfId="1086"/>
    <cellStyle name="0_!!!GO_10QDEC2004 v3_Workings to notes to 20F_V32(9) DTT(2004)as per DTTNov 1306_Consolidation_2006_Summary auditBS &amp; PL" xfId="1087"/>
    <cellStyle name="0_!!!GO_10QDEC2004 v3_Workings to notes to 20F_V32(9) DTT(2004)as per DTTNov 1306_Management accounts 2006(UPDATED)" xfId="1088"/>
    <cellStyle name="0_!!!GO_10QDEC2004 v3_Workings to notes to 20F_V38(5)(2005) " xfId="1089"/>
    <cellStyle name="0_!!!GO_10QDEC2004 v3_Workings to notes to 20F_V38(8)(2005)fixed as per DTT " xfId="1090"/>
    <cellStyle name="0_!!!GO_10QDEC2004 v3_Workings to notes to 20F_V39(2005) " xfId="1091"/>
    <cellStyle name="0_!!!GO_10QDEC2004 v3_Workings to notes to 20F_v3march1705KORD Workings to notes to 6-k 2004_v17.3.06" xfId="1092"/>
    <cellStyle name="0_!!!GO_10QDEC2004 v3_Workings to notes to 20F_V4Dec 2005  1" xfId="1093"/>
    <cellStyle name="0_!!!GO_10QDEC2004 v3_Workings to notes to 20F_V8TCWorkings to notes to 6-k June05" xfId="1094"/>
    <cellStyle name="0_!!!GO_10QDEC2004 v3_Workings to notes to 20F_Workings to notes to 6-k FY2005-Consol-V3" xfId="1095"/>
    <cellStyle name="0_!!!GO_10QDEC2004 v3_Workings to notes to 20F_Workings to notes to 6-k FY2005-Consol-V37" xfId="1096"/>
    <cellStyle name="0_!!!GO_10QDEC2004 v3_Workings to notes to 20F_Workings to notes to 6-k FY2005-Consol-V8" xfId="1097"/>
    <cellStyle name="0_!!!GO_10QDEC2004 v3_Workings to notes to 20F_Workings to notes to 6-k June05v1" xfId="1098"/>
    <cellStyle name="0_!!!GO_10QDEC2004 v3_Workings to notes to 20F_Workings to notes to 6-k June05v2" xfId="1099"/>
    <cellStyle name="0_!!!GO_10QDEC2004 v3_Workings to notes to 20F_Workings to notes to 6-k June05v3" xfId="1100"/>
    <cellStyle name="0_!!!GO_10QDEC2004 v3_Workings to notes to 20F_Workings to notes to 6-k Mar05v13TC" xfId="1101"/>
    <cellStyle name="0_!!!GO_10QDEC2004 v3_Workings to notes to 20F_Workings to notes to 6-k Mar05v17" xfId="1102"/>
    <cellStyle name="0_!!!GO_10QDEC2004 v3_Workings to notes to 6-k FY2005-Consol-V3" xfId="1103"/>
    <cellStyle name="0_!!!GO_10QDEC2004 v3_Workings to notes to 6-k FY2005-Consol-V37" xfId="1104"/>
    <cellStyle name="0_!!!GO_10QDEC2004 v3_Workings to notes to 6-k FY2005-Consol-V8" xfId="1105"/>
    <cellStyle name="0_!!!GO_10QDEC2004 v3_Workings to notes to 6-k June05v1" xfId="1106"/>
    <cellStyle name="0_!!!GO_10QDEC2004 v3_Workings to notes to 6-k June05v2" xfId="1107"/>
    <cellStyle name="0_!!!GO_10QDEC2004 v3_Workings to notes to 6-k June05v3" xfId="1108"/>
    <cellStyle name="0_!!!GO_10QDEC2004 v3_Workings to notes to 6-k Mar05v13TC" xfId="1109"/>
    <cellStyle name="0_!!!GO_10QDEC2004 v3_Workings to notes to 6-k Mar05v17" xfId="1110"/>
    <cellStyle name="0_!!!GO_10QSEP 2004 v7" xfId="1111"/>
    <cellStyle name="0_!!!GO_10QSEP 2004 v7_(3)Grand US workings December 2005" xfId="1112"/>
    <cellStyle name="0_!!!GO_10QSEP 2004 v7_(3)Grand US workings December 2005_Book1" xfId="1113"/>
    <cellStyle name="0_!!!GO_10QSEP 2004 v7_(3)Grand US workings December 2005_Consolidation_2006_Summary (v2) (1)" xfId="1114"/>
    <cellStyle name="0_!!!GO_10QSEP 2004 v7_(3)Grand US workings December 2005_Consolidation_2006_Summary (v3)" xfId="1115"/>
    <cellStyle name="0_!!!GO_10QSEP 2004 v7_(3)Grand US workings December 2005_Consolidation_2006_Summary audit" xfId="1116"/>
    <cellStyle name="0_!!!GO_10QSEP 2004 v7_(3)Grand US workings December 2005_Consolidation_2006_Summary auditBS &amp; PL" xfId="1117"/>
    <cellStyle name="0_!!!GO_10QSEP 2004 v7_(3)Grand US workings December 2005_DeferredTaxLiabilitiesOnFixedAssets" xfId="1118"/>
    <cellStyle name="0_!!!GO_10QSEP 2004 v7_(3)Grand US workings December 2005_Management accounts 2006(UPDATED)" xfId="1119"/>
    <cellStyle name="0_!!!GO_10QSEP 2004 v7_A2PLAYWELLWorkings to notes to 6-k Dec 051" xfId="1120"/>
    <cellStyle name="0_!!!GO_10QSEP 2004 v7_BLANK(iNT pLAY))(2)Workings to notes to 6-k September051" xfId="1121"/>
    <cellStyle name="0_!!!GO_10QSEP 2004 v7_BLANK(iNT pLAY))Workings to notes to 6-k June05" xfId="1122"/>
    <cellStyle name="0_!!!GO_10QSEP 2004 v7_Book1" xfId="1123"/>
    <cellStyle name="0_!!!GO_10QSEP 2004 v7_cashflow05K01" xfId="1124"/>
    <cellStyle name="0_!!!GO_10QSEP 2004 v7_consolidation entries 2004" xfId="1125"/>
    <cellStyle name="0_!!!GO_10QSEP 2004 v7_consolidation entries 2004_Consolidation_2006_Summary (v2) (1)" xfId="1126"/>
    <cellStyle name="0_!!!GO_10QSEP 2004 v7_consolidation entries 2004_Consolidation_2006_Summary (v3)" xfId="1127"/>
    <cellStyle name="0_!!!GO_10QSEP 2004 v7_consolidation entries 2004_Consolidation_2006_Summary audit" xfId="1128"/>
    <cellStyle name="0_!!!GO_10QSEP 2004 v7_consolidation entries 2004_Consolidation_2006_Summary auditBS &amp; PL" xfId="1129"/>
    <cellStyle name="0_!!!GO_10QSEP 2004 v7_consolidation entries 2004_Management accounts 2006(UPDATED)" xfId="1130"/>
    <cellStyle name="0_!!!GO_10QSEP 2004 v7_corporate tax entry allocation" xfId="1131"/>
    <cellStyle name="0_!!!GO_10QSEP 2004 v7_credit risk note" xfId="1132"/>
    <cellStyle name="0_!!!GO_10QSEP 2004 v7_DeferredTaxLiabilitiesOnFixedAssets" xfId="1133"/>
    <cellStyle name="0_!!!GO_10QSEP 2004 v7_Detailed Conso july 2005" xfId="1134"/>
    <cellStyle name="0_!!!GO_10QSEP 2004 v7_Detailed Conso july 2005_Book1" xfId="1135"/>
    <cellStyle name="0_!!!GO_10QSEP 2004 v7_Detailed Conso july 2005_Consolidation_2006_Summary (v2) (1)" xfId="1136"/>
    <cellStyle name="0_!!!GO_10QSEP 2004 v7_Detailed Conso july 2005_Consolidation_2006_Summary (v3)" xfId="1137"/>
    <cellStyle name="0_!!!GO_10QSEP 2004 v7_Detailed Conso july 2005_Consolidation_2006_Summary audit" xfId="1138"/>
    <cellStyle name="0_!!!GO_10QSEP 2004 v7_Detailed Conso july 2005_Consolidation_2006_Summary auditBS &amp; PL" xfId="1139"/>
    <cellStyle name="0_!!!GO_10QSEP 2004 v7_Detailed Conso july 2005_DeferredTaxLiabilitiesOnFixedAssets" xfId="1140"/>
    <cellStyle name="0_!!!GO_10QSEP 2004 v7_Detailed Conso july 2005_Management accounts 2006(UPDATED)" xfId="1141"/>
    <cellStyle name="0_!!!GO_10QSEP 2004 v7_FA2005schedule" xfId="1142"/>
    <cellStyle name="0_!!!GO_10QSEP 2004 v7_Grand US workings December 2005" xfId="1143"/>
    <cellStyle name="0_!!!GO_10QSEP 2004 v7_Grand US workings December 2005_Book1" xfId="1144"/>
    <cellStyle name="0_!!!GO_10QSEP 2004 v7_Grand US workings December 2005_Consolidation_2006_Summary (v2) (1)" xfId="1145"/>
    <cellStyle name="0_!!!GO_10QSEP 2004 v7_Grand US workings December 2005_Consolidation_2006_Summary (v3)" xfId="1146"/>
    <cellStyle name="0_!!!GO_10QSEP 2004 v7_Grand US workings December 2005_Consolidation_2006_Summary audit" xfId="1147"/>
    <cellStyle name="0_!!!GO_10QSEP 2004 v7_Grand US workings December 2005_Consolidation_2006_Summary auditBS &amp; PL" xfId="1148"/>
    <cellStyle name="0_!!!GO_10QSEP 2004 v7_Grand US workings December 2005_DeferredTaxLiabilitiesOnFixedAssets" xfId="1149"/>
    <cellStyle name="0_!!!GO_10QSEP 2004 v7_Grand US workings December 2005_Management accounts 2006(UPDATED)" xfId="1150"/>
    <cellStyle name="0_!!!GO_10QSEP 2004 v7_Grand US workings June2005" xfId="1151"/>
    <cellStyle name="0_!!!GO_10QSEP 2004 v7_Grand US workings June2005_Book1" xfId="1152"/>
    <cellStyle name="0_!!!GO_10QSEP 2004 v7_Grand US workings June2005_Consolidation_2006_Summary (v2) (1)" xfId="1153"/>
    <cellStyle name="0_!!!GO_10QSEP 2004 v7_Grand US workings June2005_Consolidation_2006_Summary (v3)" xfId="1154"/>
    <cellStyle name="0_!!!GO_10QSEP 2004 v7_Grand US workings June2005_Consolidation_2006_Summary audit" xfId="1155"/>
    <cellStyle name="0_!!!GO_10QSEP 2004 v7_Grand US workings June2005_Consolidation_2006_Summary auditBS &amp; PL" xfId="1156"/>
    <cellStyle name="0_!!!GO_10QSEP 2004 v7_Grand US workings June2005_DeferredTaxLiabilitiesOnFixedAssets" xfId="1157"/>
    <cellStyle name="0_!!!GO_10QSEP 2004 v7_Grand US workings June2005_Management accounts 2006(UPDATED)" xfId="1158"/>
    <cellStyle name="0_!!!GO_10QSEP 2004 v7_Grand US workings June2005_V10Workings to notes to 6-k June05 (2)" xfId="1159"/>
    <cellStyle name="0_!!!GO_10QSEP 2004 v7_HUAYANGv5(revised by dy)  wORKINGS TO nOITE DEC 3104" xfId="1160"/>
    <cellStyle name="0_!!!GO_10QSEP 2004 v7_HUAYANGWorkings to notes to 6-k FY2005-Consol" xfId="1161"/>
    <cellStyle name="0_!!!GO_10QSEP 2004 v7_Inventory  AR March 31 2005" xfId="1162"/>
    <cellStyle name="0_!!!GO_10QSEP 2004 v7_IS Format - GTL -aug2004" xfId="1163"/>
    <cellStyle name="0_!!!GO_10QSEP 2004 v7_IS Format - GTL -aug2004_Book1" xfId="1164"/>
    <cellStyle name="0_!!!GO_10QSEP 2004 v7_IS Format - GTL -aug2004_Consolidation_2006_Summary (v2) (1)" xfId="1165"/>
    <cellStyle name="0_!!!GO_10QSEP 2004 v7_IS Format - GTL -aug2004_Consolidation_2006_Summary (v3)" xfId="1166"/>
    <cellStyle name="0_!!!GO_10QSEP 2004 v7_IS Format - GTL -aug2004_Consolidation_2006_Summary audit" xfId="1167"/>
    <cellStyle name="0_!!!GO_10QSEP 2004 v7_IS Format - GTL -aug2004_Consolidation_2006_Summary auditBS &amp; PL" xfId="1168"/>
    <cellStyle name="0_!!!GO_10QSEP 2004 v7_IS Format - GTL -aug2004_DeferredTaxLiabilitiesOnFixedAssets" xfId="1169"/>
    <cellStyle name="0_!!!GO_10QSEP 2004 v7_IS Format - GTL -aug2004_Management accounts 2006(UPDATED)" xfId="1170"/>
    <cellStyle name="0_!!!GO_10QSEP 2004 v7_KD(5) Workings to notes to 6-k 2005_v17.3.06" xfId="1171"/>
    <cellStyle name="0_!!!GO_10QSEP 2004 v7_KORD Workings to notes to 6-k 2005_v17.3.06" xfId="1172"/>
    <cellStyle name="0_!!!GO_10QSEP 2004 v7_NOTES TO CASH" xfId="1173"/>
    <cellStyle name="0_!!!GO_10QSEP 2004 v7_October 2005BLANK(PLAYWELL)Workings to notes to 6-k Sept05" xfId="1174"/>
    <cellStyle name="0_!!!GO_10QSEP 2004 v7_OPTIONS  RECAPjune10,2005updated" xfId="1175"/>
    <cellStyle name="0_!!!GO_10QSEP 2004 v7_OPTIONS  RECAPjune10,2005updated_Book1" xfId="1176"/>
    <cellStyle name="0_!!!GO_10QSEP 2004 v7_OPTIONS  RECAPjune10,2005updated_Consolidation_2006_Summary (v2) (1)" xfId="1177"/>
    <cellStyle name="0_!!!GO_10QSEP 2004 v7_OPTIONS  RECAPjune10,2005updated_Consolidation_2006_Summary (v3)" xfId="1178"/>
    <cellStyle name="0_!!!GO_10QSEP 2004 v7_OPTIONS  RECAPjune10,2005updated_Consolidation_2006_Summary audit" xfId="1179"/>
    <cellStyle name="0_!!!GO_10QSEP 2004 v7_OPTIONS  RECAPjune10,2005updated_Consolidation_2006_Summary auditBS &amp; PL" xfId="1180"/>
    <cellStyle name="0_!!!GO_10QSEP 2004 v7_OPTIONS  RECAPjune10,2005updated_DeferredTaxLiabilitiesOnFixedAssets" xfId="1181"/>
    <cellStyle name="0_!!!GO_10QSEP 2004 v7_OPTIONS  RECAPjune10,2005updated_Management accounts 2006(UPDATED)" xfId="1182"/>
    <cellStyle name="0_!!!GO_10QSEP 2004 v7_OPTIONS  RECAPjune10,2005updated_V10Workings to notes to 6-k June05 (2)" xfId="1183"/>
    <cellStyle name="0_!!!GO_10QSEP 2004 v7_PIL RPT movements" xfId="1184"/>
    <cellStyle name="0_!!!GO_10QSEP 2004 v7_PLAYWELL Workings to notes to 6-k Dec 05" xfId="1185"/>
    <cellStyle name="0_!!!GO_10QSEP 2004 v7_PLAYWELL Workings to notes to 6-k June04" xfId="1186"/>
    <cellStyle name="0_!!!GO_10QSEP 2004 v7_Rpt, AGING, product lines" xfId="1187"/>
    <cellStyle name="0_!!!GO_10QSEP 2004 v7_Sheet2" xfId="1188"/>
    <cellStyle name="0_!!!GO_10QSEP 2004 v7_Sheet3" xfId="1189"/>
    <cellStyle name="0_!!!GO_10QSEP 2004 v7_Sheet4" xfId="1190"/>
    <cellStyle name="0_!!!GO_10QSEP 2004 v7_Top Lines (AC)" xfId="1191"/>
    <cellStyle name="0_!!!GO_10QSEP 2004 v7_V1 Dec 2005  1" xfId="1192"/>
    <cellStyle name="0_!!!GO_10QSEP 2004 v7_V1 July05 " xfId="1193"/>
    <cellStyle name="0_!!!GO_10QSEP 2004 v7_V10Workings to notes to 6-k June05 (2)" xfId="1194"/>
    <cellStyle name="0_!!!GO_10QSEP 2004 v7_V11workings to notes to 2004 inc HY and KD1" xfId="1195"/>
    <cellStyle name="0_!!!GO_10QSEP 2004 v7_V11workings to notes to 2004 inc HY and KD1_Book1" xfId="1196"/>
    <cellStyle name="0_!!!GO_10QSEP 2004 v7_V11workings to notes to 2004 inc HY and KD1_Consolidation_2006_Summary (v2) (1)" xfId="1197"/>
    <cellStyle name="0_!!!GO_10QSEP 2004 v7_V11workings to notes to 2004 inc HY and KD1_Consolidation_2006_Summary (v3)" xfId="1198"/>
    <cellStyle name="0_!!!GO_10QSEP 2004 v7_V11workings to notes to 2004 inc HY and KD1_Consolidation_2006_Summary audit" xfId="1199"/>
    <cellStyle name="0_!!!GO_10QSEP 2004 v7_V11workings to notes to 2004 inc HY and KD1_Consolidation_2006_Summary auditBS &amp; PL" xfId="1200"/>
    <cellStyle name="0_!!!GO_10QSEP 2004 v7_V11workings to notes to 2004 inc HY and KD1_DeferredTaxLiabilitiesOnFixedAssets" xfId="1201"/>
    <cellStyle name="0_!!!GO_10QSEP 2004 v7_V11workings to notes to 2004 inc HY and KD1_Management accounts 2006(UPDATED)" xfId="1202"/>
    <cellStyle name="0_!!!GO_10QSEP 2004 v7_V14 Dec 2005  1" xfId="1203"/>
    <cellStyle name="0_!!!GO_10QSEP 2004 v7_V18 Dec 2005 TC" xfId="1204"/>
    <cellStyle name="0_!!!GO_10QSEP 2004 v7_V29workings to notes to 2004 inc HY and KD1(1)" xfId="1205"/>
    <cellStyle name="0_!!!GO_10QSEP 2004 v7_V29workings to notes to 2004 inc HY and KD1(1)_Book1" xfId="1206"/>
    <cellStyle name="0_!!!GO_10QSEP 2004 v7_V29workings to notes to 2004 inc HY and KD1(1)_Consolidation_2006_Summary (v2) (1)" xfId="1207"/>
    <cellStyle name="0_!!!GO_10QSEP 2004 v7_V29workings to notes to 2004 inc HY and KD1(1)_Consolidation_2006_Summary (v3)" xfId="1208"/>
    <cellStyle name="0_!!!GO_10QSEP 2004 v7_V29workings to notes to 2004 inc HY and KD1(1)_Consolidation_2006_Summary audit" xfId="1209"/>
    <cellStyle name="0_!!!GO_10QSEP 2004 v7_V29workings to notes to 2004 inc HY and KD1(1)_Consolidation_2006_Summary auditBS &amp; PL" xfId="1210"/>
    <cellStyle name="0_!!!GO_10QSEP 2004 v7_V29workings to notes to 2004 inc HY and KD1(1)_DeferredTaxLiabilitiesOnFixedAssets" xfId="1211"/>
    <cellStyle name="0_!!!GO_10QSEP 2004 v7_V29workings to notes to 2004 inc HY and KD1(1)_Management accounts 2006(UPDATED)" xfId="1212"/>
    <cellStyle name="0_!!!GO_10QSEP 2004 v7_V2BLANK(PLAYWELL)Workings to notes to 6-k June05" xfId="1213"/>
    <cellStyle name="0_!!!GO_10QSEP 2004 v7_V2Dec 2005  1" xfId="1214"/>
    <cellStyle name="0_!!!GO_10QSEP 2004 v7_V2DSep2005 " xfId="1215"/>
    <cellStyle name="0_!!!GO_10QSEP 2004 v7_V2FSep2005 tc" xfId="1216"/>
    <cellStyle name="0_!!!GO_10QSEP 2004 v7_V2ISep2005 " xfId="1217"/>
    <cellStyle name="0_!!!GO_10QSEP 2004 v7_V2October 19 05Workings to notes to 6-k Sept05" xfId="1218"/>
    <cellStyle name="0_!!!GO_10QSEP 2004 v7_V30workings to notes to 2004 inc HY and KD1(1)" xfId="1219"/>
    <cellStyle name="0_!!!GO_10QSEP 2004 v7_V30workings to notes to 2004 inc HY and KD1(1)_Book1" xfId="1220"/>
    <cellStyle name="0_!!!GO_10QSEP 2004 v7_V30workings to notes to 2004 inc HY and KD1(1)_Consolidation_2006_Summary (v2) (1)" xfId="1221"/>
    <cellStyle name="0_!!!GO_10QSEP 2004 v7_V30workings to notes to 2004 inc HY and KD1(1)_Consolidation_2006_Summary (v3)" xfId="1222"/>
    <cellStyle name="0_!!!GO_10QSEP 2004 v7_V30workings to notes to 2004 inc HY and KD1(1)_Consolidation_2006_Summary audit" xfId="1223"/>
    <cellStyle name="0_!!!GO_10QSEP 2004 v7_V30workings to notes to 2004 inc HY and KD1(1)_Consolidation_2006_Summary auditBS &amp; PL" xfId="1224"/>
    <cellStyle name="0_!!!GO_10QSEP 2004 v7_V30workings to notes to 2004 inc HY and KD1(1)_DeferredTaxLiabilitiesOnFixedAssets" xfId="1225"/>
    <cellStyle name="0_!!!GO_10QSEP 2004 v7_V30workings to notes to 2004 inc HY and KD1(1)_Management accounts 2006(UPDATED)" xfId="1226"/>
    <cellStyle name="0_!!!GO_10QSEP 2004 v7_V31 Dec 2005 " xfId="1227"/>
    <cellStyle name="0_!!!GO_10QSEP 2004 v7_V31(2) Dec 2005 (2)" xfId="1228"/>
    <cellStyle name="0_!!!GO_10QSEP 2004 v7_V32(2) (2004)" xfId="1229"/>
    <cellStyle name="0_!!!GO_10QSEP 2004 v7_V32(2) (2004)_Consolidation_2006_Summary (v2) (1)" xfId="1230"/>
    <cellStyle name="0_!!!GO_10QSEP 2004 v7_V32(2) (2004)_Consolidation_2006_Summary (v3)" xfId="1231"/>
    <cellStyle name="0_!!!GO_10QSEP 2004 v7_V32(2) (2004)_Consolidation_2006_Summary audit" xfId="1232"/>
    <cellStyle name="0_!!!GO_10QSEP 2004 v7_V32(2) (2004)_Consolidation_2006_Summary auditBS &amp; PL" xfId="1233"/>
    <cellStyle name="0_!!!GO_10QSEP 2004 v7_V32(2) (2004)_Management accounts 2006(UPDATED)" xfId="1234"/>
    <cellStyle name="0_!!!GO_10QSEP 2004 v7_V32(3) (2004)" xfId="1235"/>
    <cellStyle name="0_!!!GO_10QSEP 2004 v7_V32(3) (2004)_Consolidation_2006_Summary (v2) (1)" xfId="1236"/>
    <cellStyle name="0_!!!GO_10QSEP 2004 v7_V32(3) (2004)_Consolidation_2006_Summary (v3)" xfId="1237"/>
    <cellStyle name="0_!!!GO_10QSEP 2004 v7_V32(3) (2004)_Consolidation_2006_Summary audit" xfId="1238"/>
    <cellStyle name="0_!!!GO_10QSEP 2004 v7_V32(3) (2004)_Consolidation_2006_Summary auditBS &amp; PL" xfId="1239"/>
    <cellStyle name="0_!!!GO_10QSEP 2004 v7_V32(3) (2004)_Management accounts 2006(UPDATED)" xfId="1240"/>
    <cellStyle name="0_!!!GO_10QSEP 2004 v7_V32(7) (2004)fixed as per DTT" xfId="1241"/>
    <cellStyle name="0_!!!GO_10QSEP 2004 v7_V32(7) (2004)fixed as per DTT_Consolidation_2006_Summary (v2) (1)" xfId="1242"/>
    <cellStyle name="0_!!!GO_10QSEP 2004 v7_V32(7) (2004)fixed as per DTT_Consolidation_2006_Summary (v3)" xfId="1243"/>
    <cellStyle name="0_!!!GO_10QSEP 2004 v7_V32(7) (2004)fixed as per DTT_Consolidation_2006_Summary audit" xfId="1244"/>
    <cellStyle name="0_!!!GO_10QSEP 2004 v7_V32(7) (2004)fixed as per DTT_Consolidation_2006_Summary auditBS &amp; PL" xfId="1245"/>
    <cellStyle name="0_!!!GO_10QSEP 2004 v7_V32(7) (2004)fixed as per DTT_Management accounts 2006(UPDATED)" xfId="1246"/>
    <cellStyle name="0_!!!GO_10QSEP 2004 v7_V32(9) DTT(2004)as per DTTNov 1306" xfId="1247"/>
    <cellStyle name="0_!!!GO_10QSEP 2004 v7_V32(9) DTT(2004)as per DTTNov 1306_Consolidation_2006_Summary (v2) (1)" xfId="1248"/>
    <cellStyle name="0_!!!GO_10QSEP 2004 v7_V32(9) DTT(2004)as per DTTNov 1306_Consolidation_2006_Summary (v3)" xfId="1249"/>
    <cellStyle name="0_!!!GO_10QSEP 2004 v7_V32(9) DTT(2004)as per DTTNov 1306_Consolidation_2006_Summary audit" xfId="1250"/>
    <cellStyle name="0_!!!GO_10QSEP 2004 v7_V32(9) DTT(2004)as per DTTNov 1306_Consolidation_2006_Summary auditBS &amp; PL" xfId="1251"/>
    <cellStyle name="0_!!!GO_10QSEP 2004 v7_V32(9) DTT(2004)as per DTTNov 1306_Management accounts 2006(UPDATED)" xfId="1252"/>
    <cellStyle name="0_!!!GO_10QSEP 2004 v7_V38(5)(2005) " xfId="1253"/>
    <cellStyle name="0_!!!GO_10QSEP 2004 v7_V38(8)(2005)fixed as per DTT " xfId="1254"/>
    <cellStyle name="0_!!!GO_10QSEP 2004 v7_V39(2005) " xfId="1255"/>
    <cellStyle name="0_!!!GO_10QSEP 2004 v7_v3march1705KORD Workings to notes to 6-k 2004_v17.3.06" xfId="1256"/>
    <cellStyle name="0_!!!GO_10QSEP 2004 v7_V4Dec 2005  1" xfId="1257"/>
    <cellStyle name="0_!!!GO_10QSEP 2004 v7_V8TCWorkings to notes to 6-k June05" xfId="1258"/>
    <cellStyle name="0_!!!GO_10QSEP 2004 v7_Workings to notes to 20F" xfId="1259"/>
    <cellStyle name="0_!!!GO_10QSEP 2004 v7_Workings to notes to 20F(v3)" xfId="1260"/>
    <cellStyle name="0_!!!GO_10QSEP 2004 v7_Workings to notes to 20F_(3)Grand US workings December 2005" xfId="1261"/>
    <cellStyle name="0_!!!GO_10QSEP 2004 v7_Workings to notes to 20F_(3)Grand US workings December 2005_Book1" xfId="1262"/>
    <cellStyle name="0_!!!GO_10QSEP 2004 v7_Workings to notes to 20F_(3)Grand US workings December 2005_Consolidation_2006_Summary (v2) (1)" xfId="1263"/>
    <cellStyle name="0_!!!GO_10QSEP 2004 v7_Workings to notes to 20F_(3)Grand US workings December 2005_Consolidation_2006_Summary (v3)" xfId="1264"/>
    <cellStyle name="0_!!!GO_10QSEP 2004 v7_Workings to notes to 20F_(3)Grand US workings December 2005_Consolidation_2006_Summary audit" xfId="1265"/>
    <cellStyle name="0_!!!GO_10QSEP 2004 v7_Workings to notes to 20F_(3)Grand US workings December 2005_Consolidation_2006_Summary auditBS &amp; PL" xfId="1266"/>
    <cellStyle name="0_!!!GO_10QSEP 2004 v7_Workings to notes to 20F_(3)Grand US workings December 2005_DeferredTaxLiabilitiesOnFixedAssets" xfId="1267"/>
    <cellStyle name="0_!!!GO_10QSEP 2004 v7_Workings to notes to 20F_(3)Grand US workings December 2005_Management accounts 2006(UPDATED)" xfId="1268"/>
    <cellStyle name="0_!!!GO_10QSEP 2004 v7_Workings to notes to 20F_A2PLAYWELLWorkings to notes to 6-k Dec 051" xfId="1269"/>
    <cellStyle name="0_!!!GO_10QSEP 2004 v7_Workings to notes to 20F_BLANK(iNT pLAY))(2)Workings to notes to 6-k September051" xfId="1270"/>
    <cellStyle name="0_!!!GO_10QSEP 2004 v7_Workings to notes to 20F_BLANK(iNT pLAY))Workings to notes to 6-k June05" xfId="1271"/>
    <cellStyle name="0_!!!GO_10QSEP 2004 v7_Workings to notes to 20F_Book1" xfId="1272"/>
    <cellStyle name="0_!!!GO_10QSEP 2004 v7_Workings to notes to 20F_cashflow05K01" xfId="1273"/>
    <cellStyle name="0_!!!GO_10QSEP 2004 v7_Workings to notes to 20F_consolidation entries 2004" xfId="1274"/>
    <cellStyle name="0_!!!GO_10QSEP 2004 v7_Workings to notes to 20F_consolidation entries 2004_Consolidation_2006_Summary (v2) (1)" xfId="1275"/>
    <cellStyle name="0_!!!GO_10QSEP 2004 v7_Workings to notes to 20F_consolidation entries 2004_Consolidation_2006_Summary (v3)" xfId="1276"/>
    <cellStyle name="0_!!!GO_10QSEP 2004 v7_Workings to notes to 20F_consolidation entries 2004_Consolidation_2006_Summary audit" xfId="1277"/>
    <cellStyle name="0_!!!GO_10QSEP 2004 v7_Workings to notes to 20F_consolidation entries 2004_Consolidation_2006_Summary auditBS &amp; PL" xfId="1278"/>
    <cellStyle name="0_!!!GO_10QSEP 2004 v7_Workings to notes to 20F_consolidation entries 2004_Management accounts 2006(UPDATED)" xfId="1279"/>
    <cellStyle name="0_!!!GO_10QSEP 2004 v7_Workings to notes to 20F_corporate tax entry allocation" xfId="1280"/>
    <cellStyle name="0_!!!GO_10QSEP 2004 v7_Workings to notes to 20F_DeferredTaxLiabilitiesOnFixedAssets" xfId="1281"/>
    <cellStyle name="0_!!!GO_10QSEP 2004 v7_Workings to notes to 20F_Detailed Conso july 2005" xfId="1282"/>
    <cellStyle name="0_!!!GO_10QSEP 2004 v7_Workings to notes to 20F_Detailed Conso july 2005_Book1" xfId="1283"/>
    <cellStyle name="0_!!!GO_10QSEP 2004 v7_Workings to notes to 20F_Detailed Conso july 2005_Consolidation_2006_Summary (v2) (1)" xfId="1284"/>
    <cellStyle name="0_!!!GO_10QSEP 2004 v7_Workings to notes to 20F_Detailed Conso july 2005_Consolidation_2006_Summary (v3)" xfId="1285"/>
    <cellStyle name="0_!!!GO_10QSEP 2004 v7_Workings to notes to 20F_Detailed Conso july 2005_Consolidation_2006_Summary audit" xfId="1286"/>
    <cellStyle name="0_!!!GO_10QSEP 2004 v7_Workings to notes to 20F_Detailed Conso july 2005_Consolidation_2006_Summary auditBS &amp; PL" xfId="1287"/>
    <cellStyle name="0_!!!GO_10QSEP 2004 v7_Workings to notes to 20F_Detailed Conso july 2005_DeferredTaxLiabilitiesOnFixedAssets" xfId="1288"/>
    <cellStyle name="0_!!!GO_10QSEP 2004 v7_Workings to notes to 20F_Detailed Conso july 2005_Management accounts 2006(UPDATED)" xfId="1289"/>
    <cellStyle name="0_!!!GO_10QSEP 2004 v7_Workings to notes to 20F_FA2005schedule" xfId="1290"/>
    <cellStyle name="0_!!!GO_10QSEP 2004 v7_Workings to notes to 20F_Grand US workings December 2005" xfId="1291"/>
    <cellStyle name="0_!!!GO_10QSEP 2004 v7_Workings to notes to 20F_Grand US workings December 2005_Book1" xfId="1292"/>
    <cellStyle name="0_!!!GO_10QSEP 2004 v7_Workings to notes to 20F_Grand US workings December 2005_Consolidation_2006_Summary (v2) (1)" xfId="1293"/>
    <cellStyle name="0_!!!GO_10QSEP 2004 v7_Workings to notes to 20F_Grand US workings December 2005_Consolidation_2006_Summary (v3)" xfId="1294"/>
    <cellStyle name="0_!!!GO_10QSEP 2004 v7_Workings to notes to 20F_Grand US workings December 2005_Consolidation_2006_Summary audit" xfId="1295"/>
    <cellStyle name="0_!!!GO_10QSEP 2004 v7_Workings to notes to 20F_Grand US workings December 2005_Consolidation_2006_Summary auditBS &amp; PL" xfId="1296"/>
    <cellStyle name="0_!!!GO_10QSEP 2004 v7_Workings to notes to 20F_Grand US workings December 2005_DeferredTaxLiabilitiesOnFixedAssets" xfId="1297"/>
    <cellStyle name="0_!!!GO_10QSEP 2004 v7_Workings to notes to 20F_Grand US workings December 2005_Management accounts 2006(UPDATED)" xfId="1298"/>
    <cellStyle name="0_!!!GO_10QSEP 2004 v7_Workings to notes to 20F_Grand US workings June2005" xfId="1299"/>
    <cellStyle name="0_!!!GO_10QSEP 2004 v7_Workings to notes to 20F_Grand US workings June2005_Book1" xfId="1300"/>
    <cellStyle name="0_!!!GO_10QSEP 2004 v7_Workings to notes to 20F_Grand US workings June2005_Consolidation_2006_Summary (v2) (1)" xfId="1301"/>
    <cellStyle name="0_!!!GO_10QSEP 2004 v7_Workings to notes to 20F_Grand US workings June2005_Consolidation_2006_Summary (v3)" xfId="1302"/>
    <cellStyle name="0_!!!GO_10QSEP 2004 v7_Workings to notes to 20F_Grand US workings June2005_Consolidation_2006_Summary audit" xfId="1303"/>
    <cellStyle name="0_!!!GO_10QSEP 2004 v7_Workings to notes to 20F_Grand US workings June2005_Consolidation_2006_Summary auditBS &amp; PL" xfId="1304"/>
    <cellStyle name="0_!!!GO_10QSEP 2004 v7_Workings to notes to 20F_Grand US workings June2005_DeferredTaxLiabilitiesOnFixedAssets" xfId="1305"/>
    <cellStyle name="0_!!!GO_10QSEP 2004 v7_Workings to notes to 20F_Grand US workings June2005_Management accounts 2006(UPDATED)" xfId="1306"/>
    <cellStyle name="0_!!!GO_10QSEP 2004 v7_Workings to notes to 20F_Grand US workings June2005_V10Workings to notes to 6-k June05 (2)" xfId="1307"/>
    <cellStyle name="0_!!!GO_10QSEP 2004 v7_Workings to notes to 20F_HUAYANGv5(revised by dy)  wORKINGS TO nOITE DEC 3104" xfId="1308"/>
    <cellStyle name="0_!!!GO_10QSEP 2004 v7_Workings to notes to 20F_HUAYANGWorkings to notes to 6-k FY2005-Consol" xfId="1309"/>
    <cellStyle name="0_!!!GO_10QSEP 2004 v7_Workings to notes to 20F_Inventory  AR March 31 2005" xfId="1310"/>
    <cellStyle name="0_!!!GO_10QSEP 2004 v7_Workings to notes to 20F_KD(5) Workings to notes to 6-k 2005_v17.3.06" xfId="1311"/>
    <cellStyle name="0_!!!GO_10QSEP 2004 v7_Workings to notes to 20F_KORD Workings to notes to 6-k 2005_v17.3.06" xfId="1312"/>
    <cellStyle name="0_!!!GO_10QSEP 2004 v7_Workings to notes to 20F_NOTES TO CASH" xfId="1313"/>
    <cellStyle name="0_!!!GO_10QSEP 2004 v7_Workings to notes to 20F_October 2005BLANK(PLAYWELL)Workings to notes to 6-k Sept05" xfId="1314"/>
    <cellStyle name="0_!!!GO_10QSEP 2004 v7_Workings to notes to 20F_OPTIONS  RECAPjune10,2005updated" xfId="1315"/>
    <cellStyle name="0_!!!GO_10QSEP 2004 v7_Workings to notes to 20F_PIL RPT movements" xfId="1316"/>
    <cellStyle name="0_!!!GO_10QSEP 2004 v7_Workings to notes to 20F_PLAYWELL Workings to notes to 6-k Dec 05" xfId="1317"/>
    <cellStyle name="0_!!!GO_10QSEP 2004 v7_Workings to notes to 20F_PLAYWELL Workings to notes to 6-k June04" xfId="1318"/>
    <cellStyle name="0_!!!GO_10QSEP 2004 v7_Workings to notes to 20F_Sheet2" xfId="1319"/>
    <cellStyle name="0_!!!GO_10QSEP 2004 v7_Workings to notes to 20F_Sheet3" xfId="1320"/>
    <cellStyle name="0_!!!GO_10QSEP 2004 v7_Workings to notes to 20F_Sheet4" xfId="1321"/>
    <cellStyle name="0_!!!GO_10QSEP 2004 v7_Workings to notes to 20F_Top Lines (AC)" xfId="1322"/>
    <cellStyle name="0_!!!GO_10QSEP 2004 v7_Workings to notes to 20F_V1 Dec 2005  1" xfId="1323"/>
    <cellStyle name="0_!!!GO_10QSEP 2004 v7_Workings to notes to 20F_V1 July05 " xfId="1324"/>
    <cellStyle name="0_!!!GO_10QSEP 2004 v7_Workings to notes to 20F_V10Workings to notes to 6-k June05 (2)" xfId="1325"/>
    <cellStyle name="0_!!!GO_10QSEP 2004 v7_Workings to notes to 20F_V11workings to notes to 2004 inc HY and KD1" xfId="1326"/>
    <cellStyle name="0_!!!GO_10QSEP 2004 v7_Workings to notes to 20F_V11workings to notes to 2004 inc HY and KD1_Book1" xfId="1327"/>
    <cellStyle name="0_!!!GO_10QSEP 2004 v7_Workings to notes to 20F_V11workings to notes to 2004 inc HY and KD1_Consolidation_2006_Summary (v2) (1)" xfId="1328"/>
    <cellStyle name="0_!!!GO_10QSEP 2004 v7_Workings to notes to 20F_V11workings to notes to 2004 inc HY and KD1_Consolidation_2006_Summary (v3)" xfId="1329"/>
    <cellStyle name="0_!!!GO_10QSEP 2004 v7_Workings to notes to 20F_V11workings to notes to 2004 inc HY and KD1_Consolidation_2006_Summary audit" xfId="1330"/>
    <cellStyle name="0_!!!GO_10QSEP 2004 v7_Workings to notes to 20F_V11workings to notes to 2004 inc HY and KD1_Consolidation_2006_Summary auditBS &amp; PL" xfId="1331"/>
    <cellStyle name="0_!!!GO_10QSEP 2004 v7_Workings to notes to 20F_V11workings to notes to 2004 inc HY and KD1_DeferredTaxLiabilitiesOnFixedAssets" xfId="1332"/>
    <cellStyle name="0_!!!GO_10QSEP 2004 v7_Workings to notes to 20F_V11workings to notes to 2004 inc HY and KD1_Management accounts 2006(UPDATED)" xfId="1333"/>
    <cellStyle name="0_!!!GO_10QSEP 2004 v7_Workings to notes to 20F_V14 Dec 2005  1" xfId="1334"/>
    <cellStyle name="0_!!!GO_10QSEP 2004 v7_Workings to notes to 20F_V18 Dec 2005 TC" xfId="1335"/>
    <cellStyle name="0_!!!GO_10QSEP 2004 v7_Workings to notes to 20F_V29workings to notes to 2004 inc HY and KD1(1)" xfId="1336"/>
    <cellStyle name="0_!!!GO_10QSEP 2004 v7_Workings to notes to 20F_V29workings to notes to 2004 inc HY and KD1(1)_Book1" xfId="1337"/>
    <cellStyle name="0_!!!GO_10QSEP 2004 v7_Workings to notes to 20F_V29workings to notes to 2004 inc HY and KD1(1)_Consolidation_2006_Summary (v2) (1)" xfId="1338"/>
    <cellStyle name="0_!!!GO_10QSEP 2004 v7_Workings to notes to 20F_V29workings to notes to 2004 inc HY and KD1(1)_Consolidation_2006_Summary (v3)" xfId="1339"/>
    <cellStyle name="0_!!!GO_10QSEP 2004 v7_Workings to notes to 20F_V29workings to notes to 2004 inc HY and KD1(1)_Consolidation_2006_Summary audit" xfId="1340"/>
    <cellStyle name="0_!!!GO_10QSEP 2004 v7_Workings to notes to 20F_V29workings to notes to 2004 inc HY and KD1(1)_Consolidation_2006_Summary auditBS &amp; PL" xfId="1341"/>
    <cellStyle name="0_!!!GO_10QSEP 2004 v7_Workings to notes to 20F_V29workings to notes to 2004 inc HY and KD1(1)_DeferredTaxLiabilitiesOnFixedAssets" xfId="1342"/>
    <cellStyle name="0_!!!GO_10QSEP 2004 v7_Workings to notes to 20F_V29workings to notes to 2004 inc HY and KD1(1)_Management accounts 2006(UPDATED)" xfId="1343"/>
    <cellStyle name="0_!!!GO_10QSEP 2004 v7_Workings to notes to 20F_V2BLANK(PLAYWELL)Workings to notes to 6-k June05" xfId="1344"/>
    <cellStyle name="0_!!!GO_10QSEP 2004 v7_Workings to notes to 20F_V2Dec 2005  1" xfId="1345"/>
    <cellStyle name="0_!!!GO_10QSEP 2004 v7_Workings to notes to 20F_V2DSep2005 " xfId="1346"/>
    <cellStyle name="0_!!!GO_10QSEP 2004 v7_Workings to notes to 20F_V2FSep2005 tc" xfId="1347"/>
    <cellStyle name="0_!!!GO_10QSEP 2004 v7_Workings to notes to 20F_V2ISep2005 " xfId="1348"/>
    <cellStyle name="0_!!!GO_10QSEP 2004 v7_Workings to notes to 20F_V2October 19 05Workings to notes to 6-k Sept05" xfId="1349"/>
    <cellStyle name="0_!!!GO_10QSEP 2004 v7_Workings to notes to 20F_V30workings to notes to 2004 inc HY and KD1(1)" xfId="1350"/>
    <cellStyle name="0_!!!GO_10QSEP 2004 v7_Workings to notes to 20F_V30workings to notes to 2004 inc HY and KD1(1)_Book1" xfId="1351"/>
    <cellStyle name="0_!!!GO_10QSEP 2004 v7_Workings to notes to 20F_V30workings to notes to 2004 inc HY and KD1(1)_Consolidation_2006_Summary (v2) (1)" xfId="1352"/>
    <cellStyle name="0_!!!GO_10QSEP 2004 v7_Workings to notes to 20F_V30workings to notes to 2004 inc HY and KD1(1)_Consolidation_2006_Summary (v3)" xfId="1353"/>
    <cellStyle name="0_!!!GO_10QSEP 2004 v7_Workings to notes to 20F_V30workings to notes to 2004 inc HY and KD1(1)_Consolidation_2006_Summary audit" xfId="1354"/>
    <cellStyle name="0_!!!GO_10QSEP 2004 v7_Workings to notes to 20F_V30workings to notes to 2004 inc HY and KD1(1)_Consolidation_2006_Summary auditBS &amp; PL" xfId="1355"/>
    <cellStyle name="0_!!!GO_10QSEP 2004 v7_Workings to notes to 20F_V30workings to notes to 2004 inc HY and KD1(1)_DeferredTaxLiabilitiesOnFixedAssets" xfId="1356"/>
    <cellStyle name="0_!!!GO_10QSEP 2004 v7_Workings to notes to 20F_V30workings to notes to 2004 inc HY and KD1(1)_Management accounts 2006(UPDATED)" xfId="1357"/>
    <cellStyle name="0_!!!GO_10QSEP 2004 v7_Workings to notes to 20F_V31 Dec 2005 " xfId="1358"/>
    <cellStyle name="0_!!!GO_10QSEP 2004 v7_Workings to notes to 20F_V31(2) Dec 2005 (2)" xfId="1359"/>
    <cellStyle name="0_!!!GO_10QSEP 2004 v7_Workings to notes to 20F_V32(2) (2004)" xfId="1360"/>
    <cellStyle name="0_!!!GO_10QSEP 2004 v7_Workings to notes to 20F_V32(2) (2004)_Consolidation_2006_Summary (v2) (1)" xfId="1361"/>
    <cellStyle name="0_!!!GO_10QSEP 2004 v7_Workings to notes to 20F_V32(2) (2004)_Consolidation_2006_Summary (v3)" xfId="1362"/>
    <cellStyle name="0_!!!GO_10QSEP 2004 v7_Workings to notes to 20F_V32(2) (2004)_Consolidation_2006_Summary audit" xfId="1363"/>
    <cellStyle name="0_!!!GO_10QSEP 2004 v7_Workings to notes to 20F_V32(2) (2004)_Consolidation_2006_Summary auditBS &amp; PL" xfId="1364"/>
    <cellStyle name="0_!!!GO_10QSEP 2004 v7_Workings to notes to 20F_V32(2) (2004)_Management accounts 2006(UPDATED)" xfId="1365"/>
    <cellStyle name="0_!!!GO_10QSEP 2004 v7_Workings to notes to 20F_V32(3) (2004)" xfId="1366"/>
    <cellStyle name="0_!!!GO_10QSEP 2004 v7_Workings to notes to 20F_V32(3) (2004)_Consolidation_2006_Summary (v2) (1)" xfId="1367"/>
    <cellStyle name="0_!!!GO_10QSEP 2004 v7_Workings to notes to 20F_V32(3) (2004)_Consolidation_2006_Summary (v3)" xfId="1368"/>
    <cellStyle name="0_!!!GO_10QSEP 2004 v7_Workings to notes to 20F_V32(3) (2004)_Consolidation_2006_Summary audit" xfId="1369"/>
    <cellStyle name="0_!!!GO_10QSEP 2004 v7_Workings to notes to 20F_V32(3) (2004)_Consolidation_2006_Summary auditBS &amp; PL" xfId="1370"/>
    <cellStyle name="0_!!!GO_10QSEP 2004 v7_Workings to notes to 20F_V32(3) (2004)_Management accounts 2006(UPDATED)" xfId="1371"/>
    <cellStyle name="0_!!!GO_10QSEP 2004 v7_Workings to notes to 20F_V32(7) (2004)fixed as per DTT" xfId="1372"/>
    <cellStyle name="0_!!!GO_10QSEP 2004 v7_Workings to notes to 20F_V32(7) (2004)fixed as per DTT_Consolidation_2006_Summary (v2) (1)" xfId="1373"/>
    <cellStyle name="0_!!!GO_10QSEP 2004 v7_Workings to notes to 20F_V32(7) (2004)fixed as per DTT_Consolidation_2006_Summary (v3)" xfId="1374"/>
    <cellStyle name="0_!!!GO_10QSEP 2004 v7_Workings to notes to 20F_V32(7) (2004)fixed as per DTT_Consolidation_2006_Summary audit" xfId="1375"/>
    <cellStyle name="0_!!!GO_10QSEP 2004 v7_Workings to notes to 20F_V32(7) (2004)fixed as per DTT_Consolidation_2006_Summary auditBS &amp; PL" xfId="1376"/>
    <cellStyle name="0_!!!GO_10QSEP 2004 v7_Workings to notes to 20F_V32(7) (2004)fixed as per DTT_Management accounts 2006(UPDATED)" xfId="1377"/>
    <cellStyle name="0_!!!GO_10QSEP 2004 v7_Workings to notes to 20F_V32(9) DTT(2004)as per DTTNov 1306" xfId="1378"/>
    <cellStyle name="0_!!!GO_10QSEP 2004 v7_Workings to notes to 20F_V32(9) DTT(2004)as per DTTNov 1306_Consolidation_2006_Summary (v2) (1)" xfId="1379"/>
    <cellStyle name="0_!!!GO_10QSEP 2004 v7_Workings to notes to 20F_V32(9) DTT(2004)as per DTTNov 1306_Consolidation_2006_Summary (v3)" xfId="1380"/>
    <cellStyle name="0_!!!GO_10QSEP 2004 v7_Workings to notes to 20F_V32(9) DTT(2004)as per DTTNov 1306_Consolidation_2006_Summary audit" xfId="1381"/>
    <cellStyle name="0_!!!GO_10QSEP 2004 v7_Workings to notes to 20F_V32(9) DTT(2004)as per DTTNov 1306_Consolidation_2006_Summary auditBS &amp; PL" xfId="1382"/>
    <cellStyle name="0_!!!GO_10QSEP 2004 v7_Workings to notes to 20F_V32(9) DTT(2004)as per DTTNov 1306_Management accounts 2006(UPDATED)" xfId="1383"/>
    <cellStyle name="0_!!!GO_10QSEP 2004 v7_Workings to notes to 20F_V38(5)(2005) " xfId="1384"/>
    <cellStyle name="0_!!!GO_10QSEP 2004 v7_Workings to notes to 20F_V38(8)(2005)fixed as per DTT " xfId="1385"/>
    <cellStyle name="0_!!!GO_10QSEP 2004 v7_Workings to notes to 20F_V39(2005) " xfId="1386"/>
    <cellStyle name="0_!!!GO_10QSEP 2004 v7_Workings to notes to 20F_v3march1705KORD Workings to notes to 6-k 2004_v17.3.06" xfId="1387"/>
    <cellStyle name="0_!!!GO_10QSEP 2004 v7_Workings to notes to 20F_V4Dec 2005  1" xfId="1388"/>
    <cellStyle name="0_!!!GO_10QSEP 2004 v7_Workings to notes to 20F_V8TCWorkings to notes to 6-k June05" xfId="1389"/>
    <cellStyle name="0_!!!GO_10QSEP 2004 v7_Workings to notes to 20F_Workings to notes to 6-k FY2005-Consol-V3" xfId="1390"/>
    <cellStyle name="0_!!!GO_10QSEP 2004 v7_Workings to notes to 20F_Workings to notes to 6-k FY2005-Consol-V37" xfId="1391"/>
    <cellStyle name="0_!!!GO_10QSEP 2004 v7_Workings to notes to 20F_Workings to notes to 6-k FY2005-Consol-V8" xfId="1392"/>
    <cellStyle name="0_!!!GO_10QSEP 2004 v7_Workings to notes to 20F_Workings to notes to 6-k June05v1" xfId="1393"/>
    <cellStyle name="0_!!!GO_10QSEP 2004 v7_Workings to notes to 20F_Workings to notes to 6-k June05v2" xfId="1394"/>
    <cellStyle name="0_!!!GO_10QSEP 2004 v7_Workings to notes to 20F_Workings to notes to 6-k June05v3" xfId="1395"/>
    <cellStyle name="0_!!!GO_10QSEP 2004 v7_Workings to notes to 20F_Workings to notes to 6-k Mar05v13TC" xfId="1396"/>
    <cellStyle name="0_!!!GO_10QSEP 2004 v7_Workings to notes to 20F_Workings to notes to 6-k Mar05v17" xfId="1397"/>
    <cellStyle name="0_!!!GO_10QSEP 2004 v7_Workings to notes to 6-k FY2005-Consol-V3" xfId="1398"/>
    <cellStyle name="0_!!!GO_10QSEP 2004 v7_Workings to notes to 6-k FY2005-Consol-V37" xfId="1399"/>
    <cellStyle name="0_!!!GO_10QSEP 2004 v7_Workings to notes to 6-k FY2005-Consol-V8" xfId="1400"/>
    <cellStyle name="0_!!!GO_10QSEP 2004 v7_Workings to notes to 6-k June05v1" xfId="1401"/>
    <cellStyle name="0_!!!GO_10QSEP 2004 v7_Workings to notes to 6-k June05v2" xfId="1402"/>
    <cellStyle name="0_!!!GO_10QSEP 2004 v7_Workings to notes to 6-k June05v3" xfId="1403"/>
    <cellStyle name="0_!!!GO_10QSEP 2004 v7_Workings to notes to 6-k Mar05v13TC" xfId="1404"/>
    <cellStyle name="0_!!!GO_10QSEP 2004 v7_Workings to notes to 6-k Mar05v17" xfId="1405"/>
    <cellStyle name="0_!!!GO_10QSEP 2004 v7_Workings to notes to 6-k Mar05v19(div)" xfId="1406"/>
    <cellStyle name="0_!!!GO_20-F DEC 31 2004v11" xfId="1407"/>
    <cellStyle name="0_!!!GO_A4Cash flow1" xfId="1408"/>
    <cellStyle name="0_!!!GO_AE(tania)consolidated FS oct 30 04revised 2 (nov304R)" xfId="1409"/>
    <cellStyle name="0_!!!GO_AFconsolidated FS oct 30 04revised 2 (nov304R)(TER)1" xfId="1410"/>
    <cellStyle name="0_!!!GO_AGconsolidated FS oct 30 04revised 2 (nov304R)" xfId="1411"/>
    <cellStyle name="0_!!!GO_consolidated detailed IS 2004" xfId="1412"/>
    <cellStyle name="0_!!!GO_consolidated detailed IS 2004_(3)Grand US workings December 2005" xfId="1413"/>
    <cellStyle name="0_!!!GO_consolidated detailed IS 2004_(3)Grand US workings December 2005_Book1" xfId="1414"/>
    <cellStyle name="0_!!!GO_consolidated detailed IS 2004_(3)Grand US workings December 2005_Consolidation_2006_Summary (v2) (1)" xfId="1415"/>
    <cellStyle name="0_!!!GO_consolidated detailed IS 2004_(3)Grand US workings December 2005_Consolidation_2006_Summary (v3)" xfId="1416"/>
    <cellStyle name="0_!!!GO_consolidated detailed IS 2004_(3)Grand US workings December 2005_Consolidation_2006_Summary audit" xfId="1417"/>
    <cellStyle name="0_!!!GO_consolidated detailed IS 2004_(3)Grand US workings December 2005_Consolidation_2006_Summary auditBS &amp; PL" xfId="1418"/>
    <cellStyle name="0_!!!GO_consolidated detailed IS 2004_(3)Grand US workings December 2005_DeferredTaxLiabilitiesOnFixedAssets" xfId="1419"/>
    <cellStyle name="0_!!!GO_consolidated detailed IS 2004_(3)Grand US workings December 2005_Management accounts 2006(UPDATED)" xfId="1420"/>
    <cellStyle name="0_!!!GO_consolidated detailed IS 2004_A2PLAYWELLWorkings to notes to 6-k Dec 051" xfId="1421"/>
    <cellStyle name="0_!!!GO_consolidated detailed IS 2004_BLANK(iNT pLAY))(2)Workings to notes to 6-k September051" xfId="1422"/>
    <cellStyle name="0_!!!GO_consolidated detailed IS 2004_BLANK(iNT pLAY))Workings to notes to 6-k June05" xfId="1423"/>
    <cellStyle name="0_!!!GO_consolidated detailed IS 2004_Book1" xfId="1424"/>
    <cellStyle name="0_!!!GO_consolidated detailed IS 2004_cashflow05K01" xfId="1425"/>
    <cellStyle name="0_!!!GO_consolidated detailed IS 2004_consolidation entries 2004" xfId="1426"/>
    <cellStyle name="0_!!!GO_consolidated detailed IS 2004_consolidation entries 2004_Consolidation_2006_Summary (v2) (1)" xfId="1427"/>
    <cellStyle name="0_!!!GO_consolidated detailed IS 2004_consolidation entries 2004_Consolidation_2006_Summary (v3)" xfId="1428"/>
    <cellStyle name="0_!!!GO_consolidated detailed IS 2004_consolidation entries 2004_Consolidation_2006_Summary audit" xfId="1429"/>
    <cellStyle name="0_!!!GO_consolidated detailed IS 2004_consolidation entries 2004_Consolidation_2006_Summary auditBS &amp; PL" xfId="1430"/>
    <cellStyle name="0_!!!GO_consolidated detailed IS 2004_consolidation entries 2004_Management accounts 2006(UPDATED)" xfId="1431"/>
    <cellStyle name="0_!!!GO_consolidated detailed IS 2004_corporate tax entry allocation" xfId="1432"/>
    <cellStyle name="0_!!!GO_consolidated detailed IS 2004_credit risk note" xfId="1433"/>
    <cellStyle name="0_!!!GO_consolidated detailed IS 2004_DeferredTaxLiabilitiesOnFixedAssets" xfId="1434"/>
    <cellStyle name="0_!!!GO_consolidated detailed IS 2004_Detailed Conso july 2005" xfId="1435"/>
    <cellStyle name="0_!!!GO_consolidated detailed IS 2004_Detailed Conso july 2005_Book1" xfId="1436"/>
    <cellStyle name="0_!!!GO_consolidated detailed IS 2004_Detailed Conso july 2005_Consolidation_2006_Summary (v2) (1)" xfId="1437"/>
    <cellStyle name="0_!!!GO_consolidated detailed IS 2004_Detailed Conso july 2005_Consolidation_2006_Summary (v3)" xfId="1438"/>
    <cellStyle name="0_!!!GO_consolidated detailed IS 2004_Detailed Conso july 2005_Consolidation_2006_Summary audit" xfId="1439"/>
    <cellStyle name="0_!!!GO_consolidated detailed IS 2004_Detailed Conso july 2005_Consolidation_2006_Summary auditBS &amp; PL" xfId="1440"/>
    <cellStyle name="0_!!!GO_consolidated detailed IS 2004_Detailed Conso july 2005_DeferredTaxLiabilitiesOnFixedAssets" xfId="1441"/>
    <cellStyle name="0_!!!GO_consolidated detailed IS 2004_Detailed Conso july 2005_Management accounts 2006(UPDATED)" xfId="1442"/>
    <cellStyle name="0_!!!GO_consolidated detailed IS 2004_FA2005schedule" xfId="1443"/>
    <cellStyle name="0_!!!GO_consolidated detailed IS 2004_Grand US workings December 2005" xfId="1444"/>
    <cellStyle name="0_!!!GO_consolidated detailed IS 2004_Grand US workings December 2005_Book1" xfId="1445"/>
    <cellStyle name="0_!!!GO_consolidated detailed IS 2004_Grand US workings December 2005_Consolidation_2006_Summary (v2) (1)" xfId="1446"/>
    <cellStyle name="0_!!!GO_consolidated detailed IS 2004_Grand US workings December 2005_Consolidation_2006_Summary (v3)" xfId="1447"/>
    <cellStyle name="0_!!!GO_consolidated detailed IS 2004_Grand US workings December 2005_Consolidation_2006_Summary audit" xfId="1448"/>
    <cellStyle name="0_!!!GO_consolidated detailed IS 2004_Grand US workings December 2005_Consolidation_2006_Summary auditBS &amp; PL" xfId="1449"/>
    <cellStyle name="0_!!!GO_consolidated detailed IS 2004_Grand US workings December 2005_DeferredTaxLiabilitiesOnFixedAssets" xfId="1450"/>
    <cellStyle name="0_!!!GO_consolidated detailed IS 2004_Grand US workings December 2005_Management accounts 2006(UPDATED)" xfId="1451"/>
    <cellStyle name="0_!!!GO_consolidated detailed IS 2004_Grand US workings June2005" xfId="1452"/>
    <cellStyle name="0_!!!GO_consolidated detailed IS 2004_Grand US workings June2005_Book1" xfId="1453"/>
    <cellStyle name="0_!!!GO_consolidated detailed IS 2004_Grand US workings June2005_Consolidation_2006_Summary (v2) (1)" xfId="1454"/>
    <cellStyle name="0_!!!GO_consolidated detailed IS 2004_Grand US workings June2005_Consolidation_2006_Summary (v3)" xfId="1455"/>
    <cellStyle name="0_!!!GO_consolidated detailed IS 2004_Grand US workings June2005_Consolidation_2006_Summary audit" xfId="1456"/>
    <cellStyle name="0_!!!GO_consolidated detailed IS 2004_Grand US workings June2005_Consolidation_2006_Summary auditBS &amp; PL" xfId="1457"/>
    <cellStyle name="0_!!!GO_consolidated detailed IS 2004_Grand US workings June2005_DeferredTaxLiabilitiesOnFixedAssets" xfId="1458"/>
    <cellStyle name="0_!!!GO_consolidated detailed IS 2004_Grand US workings June2005_Management accounts 2006(UPDATED)" xfId="1459"/>
    <cellStyle name="0_!!!GO_consolidated detailed IS 2004_Grand US workings June2005_V10Workings to notes to 6-k June05 (2)" xfId="1460"/>
    <cellStyle name="0_!!!GO_consolidated detailed IS 2004_HUAYANGv5(revised by dy)  wORKINGS TO nOITE DEC 3104" xfId="1461"/>
    <cellStyle name="0_!!!GO_consolidated detailed IS 2004_HUAYANGWorkings to notes to 6-k FY2005-Consol" xfId="1462"/>
    <cellStyle name="0_!!!GO_consolidated detailed IS 2004_Inventory  AR March 31 2005" xfId="1463"/>
    <cellStyle name="0_!!!GO_consolidated detailed IS 2004_IS Format - GTL -aug2004" xfId="1464"/>
    <cellStyle name="0_!!!GO_consolidated detailed IS 2004_IS Format - GTL -aug2004_Book1" xfId="1465"/>
    <cellStyle name="0_!!!GO_consolidated detailed IS 2004_IS Format - GTL -aug2004_Consolidation_2006_Summary (v2) (1)" xfId="1466"/>
    <cellStyle name="0_!!!GO_consolidated detailed IS 2004_IS Format - GTL -aug2004_Consolidation_2006_Summary (v3)" xfId="1467"/>
    <cellStyle name="0_!!!GO_consolidated detailed IS 2004_IS Format - GTL -aug2004_Consolidation_2006_Summary audit" xfId="1468"/>
    <cellStyle name="0_!!!GO_consolidated detailed IS 2004_IS Format - GTL -aug2004_Consolidation_2006_Summary auditBS &amp; PL" xfId="1469"/>
    <cellStyle name="0_!!!GO_consolidated detailed IS 2004_IS Format - GTL -aug2004_DeferredTaxLiabilitiesOnFixedAssets" xfId="1470"/>
    <cellStyle name="0_!!!GO_consolidated detailed IS 2004_IS Format - GTL -aug2004_Management accounts 2006(UPDATED)" xfId="1471"/>
    <cellStyle name="0_!!!GO_consolidated detailed IS 2004_KD(5) Workings to notes to 6-k 2005_v17.3.06" xfId="1472"/>
    <cellStyle name="0_!!!GO_consolidated detailed IS 2004_KORD Workings to notes to 6-k 2005_v17.3.06" xfId="1473"/>
    <cellStyle name="0_!!!GO_consolidated detailed IS 2004_NOTES TO CASH" xfId="1474"/>
    <cellStyle name="0_!!!GO_consolidated detailed IS 2004_October 2005BLANK(PLAYWELL)Workings to notes to 6-k Sept05" xfId="1475"/>
    <cellStyle name="0_!!!GO_consolidated detailed IS 2004_OPTIONS  RECAPjune10,2005updated" xfId="1476"/>
    <cellStyle name="0_!!!GO_consolidated detailed IS 2004_OPTIONS  RECAPjune10,2005updated_Book1" xfId="1477"/>
    <cellStyle name="0_!!!GO_consolidated detailed IS 2004_OPTIONS  RECAPjune10,2005updated_Consolidation_2006_Summary (v2) (1)" xfId="1478"/>
    <cellStyle name="0_!!!GO_consolidated detailed IS 2004_OPTIONS  RECAPjune10,2005updated_Consolidation_2006_Summary (v3)" xfId="1479"/>
    <cellStyle name="0_!!!GO_consolidated detailed IS 2004_OPTIONS  RECAPjune10,2005updated_Consolidation_2006_Summary audit" xfId="1480"/>
    <cellStyle name="0_!!!GO_consolidated detailed IS 2004_OPTIONS  RECAPjune10,2005updated_Consolidation_2006_Summary auditBS &amp; PL" xfId="1481"/>
    <cellStyle name="0_!!!GO_consolidated detailed IS 2004_OPTIONS  RECAPjune10,2005updated_DeferredTaxLiabilitiesOnFixedAssets" xfId="1482"/>
    <cellStyle name="0_!!!GO_consolidated detailed IS 2004_OPTIONS  RECAPjune10,2005updated_Management accounts 2006(UPDATED)" xfId="1483"/>
    <cellStyle name="0_!!!GO_consolidated detailed IS 2004_OPTIONS  RECAPjune10,2005updated_V10Workings to notes to 6-k June05 (2)" xfId="1484"/>
    <cellStyle name="0_!!!GO_consolidated detailed IS 2004_PIL RPT movements" xfId="1485"/>
    <cellStyle name="0_!!!GO_consolidated detailed IS 2004_PLAYWELL Workings to notes to 6-k Dec 05" xfId="1486"/>
    <cellStyle name="0_!!!GO_consolidated detailed IS 2004_PLAYWELL Workings to notes to 6-k June04" xfId="1487"/>
    <cellStyle name="0_!!!GO_consolidated detailed IS 2004_Rpt, AGING, product lines" xfId="1488"/>
    <cellStyle name="0_!!!GO_consolidated detailed IS 2004_Sheet2" xfId="1489"/>
    <cellStyle name="0_!!!GO_consolidated detailed IS 2004_Sheet3" xfId="1490"/>
    <cellStyle name="0_!!!GO_consolidated detailed IS 2004_Sheet4" xfId="1491"/>
    <cellStyle name="0_!!!GO_consolidated detailed IS 2004_Top Lines (AC)" xfId="1492"/>
    <cellStyle name="0_!!!GO_consolidated detailed IS 2004_V1 Dec 2005  1" xfId="1493"/>
    <cellStyle name="0_!!!GO_consolidated detailed IS 2004_V1 July05 " xfId="1494"/>
    <cellStyle name="0_!!!GO_consolidated detailed IS 2004_V10Workings to notes to 6-k June05 (2)" xfId="1495"/>
    <cellStyle name="0_!!!GO_consolidated detailed IS 2004_V11workings to notes to 2004 inc HY and KD1" xfId="1496"/>
    <cellStyle name="0_!!!GO_consolidated detailed IS 2004_V11workings to notes to 2004 inc HY and KD1_Book1" xfId="1497"/>
    <cellStyle name="0_!!!GO_consolidated detailed IS 2004_V11workings to notes to 2004 inc HY and KD1_Consolidation_2006_Summary (v2) (1)" xfId="1498"/>
    <cellStyle name="0_!!!GO_consolidated detailed IS 2004_V11workings to notes to 2004 inc HY and KD1_Consolidation_2006_Summary (v3)" xfId="1499"/>
    <cellStyle name="0_!!!GO_consolidated detailed IS 2004_V11workings to notes to 2004 inc HY and KD1_Consolidation_2006_Summary audit" xfId="1500"/>
    <cellStyle name="0_!!!GO_consolidated detailed IS 2004_V11workings to notes to 2004 inc HY and KD1_Consolidation_2006_Summary auditBS &amp; PL" xfId="1501"/>
    <cellStyle name="0_!!!GO_consolidated detailed IS 2004_V11workings to notes to 2004 inc HY and KD1_DeferredTaxLiabilitiesOnFixedAssets" xfId="1502"/>
    <cellStyle name="0_!!!GO_consolidated detailed IS 2004_V11workings to notes to 2004 inc HY and KD1_Management accounts 2006(UPDATED)" xfId="1503"/>
    <cellStyle name="0_!!!GO_consolidated detailed IS 2004_V14 Dec 2005  1" xfId="1504"/>
    <cellStyle name="0_!!!GO_consolidated detailed IS 2004_V18 Dec 2005 TC" xfId="1505"/>
    <cellStyle name="0_!!!GO_consolidated detailed IS 2004_V29workings to notes to 2004 inc HY and KD1(1)" xfId="1506"/>
    <cellStyle name="0_!!!GO_consolidated detailed IS 2004_V29workings to notes to 2004 inc HY and KD1(1)_Book1" xfId="1507"/>
    <cellStyle name="0_!!!GO_consolidated detailed IS 2004_V29workings to notes to 2004 inc HY and KD1(1)_Consolidation_2006_Summary (v2) (1)" xfId="1508"/>
    <cellStyle name="0_!!!GO_consolidated detailed IS 2004_V29workings to notes to 2004 inc HY and KD1(1)_Consolidation_2006_Summary (v3)" xfId="1509"/>
    <cellStyle name="0_!!!GO_consolidated detailed IS 2004_V29workings to notes to 2004 inc HY and KD1(1)_Consolidation_2006_Summary audit" xfId="1510"/>
    <cellStyle name="0_!!!GO_consolidated detailed IS 2004_V29workings to notes to 2004 inc HY and KD1(1)_Consolidation_2006_Summary auditBS &amp; PL" xfId="1511"/>
    <cellStyle name="0_!!!GO_consolidated detailed IS 2004_V29workings to notes to 2004 inc HY and KD1(1)_DeferredTaxLiabilitiesOnFixedAssets" xfId="1512"/>
    <cellStyle name="0_!!!GO_consolidated detailed IS 2004_V29workings to notes to 2004 inc HY and KD1(1)_Management accounts 2006(UPDATED)" xfId="1513"/>
    <cellStyle name="0_!!!GO_consolidated detailed IS 2004_V2BLANK(PLAYWELL)Workings to notes to 6-k June05" xfId="1514"/>
    <cellStyle name="0_!!!GO_consolidated detailed IS 2004_V2Dec 2005  1" xfId="1515"/>
    <cellStyle name="0_!!!GO_consolidated detailed IS 2004_V2DSep2005 " xfId="1516"/>
    <cellStyle name="0_!!!GO_consolidated detailed IS 2004_V2FSep2005 tc" xfId="1517"/>
    <cellStyle name="0_!!!GO_consolidated detailed IS 2004_V2ISep2005 " xfId="1518"/>
    <cellStyle name="0_!!!GO_consolidated detailed IS 2004_V2October 19 05Workings to notes to 6-k Sept05" xfId="1519"/>
    <cellStyle name="0_!!!GO_consolidated detailed IS 2004_V30workings to notes to 2004 inc HY and KD1(1)" xfId="1520"/>
    <cellStyle name="0_!!!GO_consolidated detailed IS 2004_V30workings to notes to 2004 inc HY and KD1(1)_Book1" xfId="1521"/>
    <cellStyle name="0_!!!GO_consolidated detailed IS 2004_V30workings to notes to 2004 inc HY and KD1(1)_Consolidation_2006_Summary (v2) (1)" xfId="1522"/>
    <cellStyle name="0_!!!GO_consolidated detailed IS 2004_V30workings to notes to 2004 inc HY and KD1(1)_Consolidation_2006_Summary (v3)" xfId="1523"/>
    <cellStyle name="0_!!!GO_consolidated detailed IS 2004_V30workings to notes to 2004 inc HY and KD1(1)_Consolidation_2006_Summary audit" xfId="1524"/>
    <cellStyle name="0_!!!GO_consolidated detailed IS 2004_V30workings to notes to 2004 inc HY and KD1(1)_Consolidation_2006_Summary auditBS &amp; PL" xfId="1525"/>
    <cellStyle name="0_!!!GO_consolidated detailed IS 2004_V30workings to notes to 2004 inc HY and KD1(1)_DeferredTaxLiabilitiesOnFixedAssets" xfId="1526"/>
    <cellStyle name="0_!!!GO_consolidated detailed IS 2004_V30workings to notes to 2004 inc HY and KD1(1)_Management accounts 2006(UPDATED)" xfId="1527"/>
    <cellStyle name="0_!!!GO_consolidated detailed IS 2004_V31 Dec 2005 " xfId="1528"/>
    <cellStyle name="0_!!!GO_consolidated detailed IS 2004_V31(2) Dec 2005 (2)" xfId="1529"/>
    <cellStyle name="0_!!!GO_consolidated detailed IS 2004_V32(2) (2004)" xfId="1530"/>
    <cellStyle name="0_!!!GO_consolidated detailed IS 2004_V32(2) (2004)_Consolidation_2006_Summary (v2) (1)" xfId="1531"/>
    <cellStyle name="0_!!!GO_consolidated detailed IS 2004_V32(2) (2004)_Consolidation_2006_Summary (v3)" xfId="1532"/>
    <cellStyle name="0_!!!GO_consolidated detailed IS 2004_V32(2) (2004)_Consolidation_2006_Summary audit" xfId="1533"/>
    <cellStyle name="0_!!!GO_consolidated detailed IS 2004_V32(2) (2004)_Consolidation_2006_Summary auditBS &amp; PL" xfId="1534"/>
    <cellStyle name="0_!!!GO_consolidated detailed IS 2004_V32(2) (2004)_Management accounts 2006(UPDATED)" xfId="1535"/>
    <cellStyle name="0_!!!GO_consolidated detailed IS 2004_V32(3) (2004)" xfId="1536"/>
    <cellStyle name="0_!!!GO_consolidated detailed IS 2004_V32(3) (2004)_Consolidation_2006_Summary (v2) (1)" xfId="1537"/>
    <cellStyle name="0_!!!GO_consolidated detailed IS 2004_V32(3) (2004)_Consolidation_2006_Summary (v3)" xfId="1538"/>
    <cellStyle name="0_!!!GO_consolidated detailed IS 2004_V32(3) (2004)_Consolidation_2006_Summary audit" xfId="1539"/>
    <cellStyle name="0_!!!GO_consolidated detailed IS 2004_V32(3) (2004)_Consolidation_2006_Summary auditBS &amp; PL" xfId="1540"/>
    <cellStyle name="0_!!!GO_consolidated detailed IS 2004_V32(3) (2004)_Management accounts 2006(UPDATED)" xfId="1541"/>
    <cellStyle name="0_!!!GO_consolidated detailed IS 2004_V32(7) (2004)fixed as per DTT" xfId="1542"/>
    <cellStyle name="0_!!!GO_consolidated detailed IS 2004_V32(7) (2004)fixed as per DTT_Consolidation_2006_Summary (v2) (1)" xfId="1543"/>
    <cellStyle name="0_!!!GO_consolidated detailed IS 2004_V32(7) (2004)fixed as per DTT_Consolidation_2006_Summary (v3)" xfId="1544"/>
    <cellStyle name="0_!!!GO_consolidated detailed IS 2004_V32(7) (2004)fixed as per DTT_Consolidation_2006_Summary audit" xfId="1545"/>
    <cellStyle name="0_!!!GO_consolidated detailed IS 2004_V32(7) (2004)fixed as per DTT_Consolidation_2006_Summary auditBS &amp; PL" xfId="1546"/>
    <cellStyle name="0_!!!GO_consolidated detailed IS 2004_V32(7) (2004)fixed as per DTT_Management accounts 2006(UPDATED)" xfId="1547"/>
    <cellStyle name="0_!!!GO_consolidated detailed IS 2004_V32(9) DTT(2004)as per DTTNov 1306" xfId="1548"/>
    <cellStyle name="0_!!!GO_consolidated detailed IS 2004_V32(9) DTT(2004)as per DTTNov 1306_Consolidation_2006_Summary (v2) (1)" xfId="1549"/>
    <cellStyle name="0_!!!GO_consolidated detailed IS 2004_V32(9) DTT(2004)as per DTTNov 1306_Consolidation_2006_Summary (v3)" xfId="1550"/>
    <cellStyle name="0_!!!GO_consolidated detailed IS 2004_V32(9) DTT(2004)as per DTTNov 1306_Consolidation_2006_Summary audit" xfId="1551"/>
    <cellStyle name="0_!!!GO_consolidated detailed IS 2004_V32(9) DTT(2004)as per DTTNov 1306_Consolidation_2006_Summary auditBS &amp; PL" xfId="1552"/>
    <cellStyle name="0_!!!GO_consolidated detailed IS 2004_V32(9) DTT(2004)as per DTTNov 1306_Management accounts 2006(UPDATED)" xfId="1553"/>
    <cellStyle name="0_!!!GO_consolidated detailed IS 2004_V38(5)(2005) " xfId="1554"/>
    <cellStyle name="0_!!!GO_consolidated detailed IS 2004_V38(8)(2005)fixed as per DTT " xfId="1555"/>
    <cellStyle name="0_!!!GO_consolidated detailed IS 2004_V39(2005) " xfId="1556"/>
    <cellStyle name="0_!!!GO_consolidated detailed IS 2004_v3march1705KORD Workings to notes to 6-k 2004_v17.3.06" xfId="1557"/>
    <cellStyle name="0_!!!GO_consolidated detailed IS 2004_V4Dec 2005  1" xfId="1558"/>
    <cellStyle name="0_!!!GO_consolidated detailed IS 2004_V8TCWorkings to notes to 6-k June05" xfId="1559"/>
    <cellStyle name="0_!!!GO_consolidated detailed IS 2004_Workings to notes to 20F" xfId="1560"/>
    <cellStyle name="0_!!!GO_consolidated detailed IS 2004_Workings to notes to 20F(v3)" xfId="1561"/>
    <cellStyle name="0_!!!GO_consolidated detailed IS 2004_Workings to notes to 20F_(3)Grand US workings December 2005" xfId="1562"/>
    <cellStyle name="0_!!!GO_consolidated detailed IS 2004_Workings to notes to 20F_(3)Grand US workings December 2005_Book1" xfId="1563"/>
    <cellStyle name="0_!!!GO_consolidated detailed IS 2004_Workings to notes to 20F_(3)Grand US workings December 2005_Consolidation_2006_Summary (v2) (1)" xfId="1564"/>
    <cellStyle name="0_!!!GO_consolidated detailed IS 2004_Workings to notes to 20F_(3)Grand US workings December 2005_Consolidation_2006_Summary (v3)" xfId="1565"/>
    <cellStyle name="0_!!!GO_consolidated detailed IS 2004_Workings to notes to 20F_(3)Grand US workings December 2005_Consolidation_2006_Summary audit" xfId="1566"/>
    <cellStyle name="0_!!!GO_consolidated detailed IS 2004_Workings to notes to 20F_(3)Grand US workings December 2005_Consolidation_2006_Summary auditBS &amp; PL" xfId="1567"/>
    <cellStyle name="0_!!!GO_consolidated detailed IS 2004_Workings to notes to 20F_(3)Grand US workings December 2005_DeferredTaxLiabilitiesOnFixedAssets" xfId="1568"/>
    <cellStyle name="0_!!!GO_consolidated detailed IS 2004_Workings to notes to 20F_(3)Grand US workings December 2005_Management accounts 2006(UPDATED)" xfId="1569"/>
    <cellStyle name="0_!!!GO_consolidated detailed IS 2004_Workings to notes to 20F_A2PLAYWELLWorkings to notes to 6-k Dec 051" xfId="1570"/>
    <cellStyle name="0_!!!GO_consolidated detailed IS 2004_Workings to notes to 20F_BLANK(iNT pLAY))(2)Workings to notes to 6-k September051" xfId="1571"/>
    <cellStyle name="0_!!!GO_consolidated detailed IS 2004_Workings to notes to 20F_BLANK(iNT pLAY))Workings to notes to 6-k June05" xfId="1572"/>
    <cellStyle name="0_!!!GO_consolidated detailed IS 2004_Workings to notes to 20F_Book1" xfId="1573"/>
    <cellStyle name="0_!!!GO_consolidated detailed IS 2004_Workings to notes to 20F_cashflow05K01" xfId="1574"/>
    <cellStyle name="0_!!!GO_consolidated detailed IS 2004_Workings to notes to 20F_consolidation entries 2004" xfId="1575"/>
    <cellStyle name="0_!!!GO_consolidated detailed IS 2004_Workings to notes to 20F_consolidation entries 2004_Consolidation_2006_Summary (v2) (1)" xfId="1576"/>
    <cellStyle name="0_!!!GO_consolidated detailed IS 2004_Workings to notes to 20F_consolidation entries 2004_Consolidation_2006_Summary (v3)" xfId="1577"/>
    <cellStyle name="0_!!!GO_consolidated detailed IS 2004_Workings to notes to 20F_consolidation entries 2004_Consolidation_2006_Summary audit" xfId="1578"/>
    <cellStyle name="0_!!!GO_consolidated detailed IS 2004_Workings to notes to 20F_consolidation entries 2004_Consolidation_2006_Summary auditBS &amp; PL" xfId="1579"/>
    <cellStyle name="0_!!!GO_consolidated detailed IS 2004_Workings to notes to 20F_consolidation entries 2004_Management accounts 2006(UPDATED)" xfId="1580"/>
    <cellStyle name="0_!!!GO_consolidated detailed IS 2004_Workings to notes to 20F_corporate tax entry allocation" xfId="1581"/>
    <cellStyle name="0_!!!GO_consolidated detailed IS 2004_Workings to notes to 20F_DeferredTaxLiabilitiesOnFixedAssets" xfId="1582"/>
    <cellStyle name="0_!!!GO_consolidated detailed IS 2004_Workings to notes to 20F_Detailed Conso july 2005" xfId="1583"/>
    <cellStyle name="0_!!!GO_consolidated detailed IS 2004_Workings to notes to 20F_Detailed Conso july 2005_Book1" xfId="1584"/>
    <cellStyle name="0_!!!GO_consolidated detailed IS 2004_Workings to notes to 20F_Detailed Conso july 2005_Consolidation_2006_Summary (v2) (1)" xfId="1585"/>
    <cellStyle name="0_!!!GO_consolidated detailed IS 2004_Workings to notes to 20F_Detailed Conso july 2005_Consolidation_2006_Summary (v3)" xfId="1586"/>
    <cellStyle name="0_!!!GO_consolidated detailed IS 2004_Workings to notes to 20F_Detailed Conso july 2005_Consolidation_2006_Summary audit" xfId="1587"/>
    <cellStyle name="0_!!!GO_consolidated detailed IS 2004_Workings to notes to 20F_Detailed Conso july 2005_Consolidation_2006_Summary auditBS &amp; PL" xfId="1588"/>
    <cellStyle name="0_!!!GO_consolidated detailed IS 2004_Workings to notes to 20F_Detailed Conso july 2005_DeferredTaxLiabilitiesOnFixedAssets" xfId="1589"/>
    <cellStyle name="0_!!!GO_consolidated detailed IS 2004_Workings to notes to 20F_Detailed Conso july 2005_Management accounts 2006(UPDATED)" xfId="1590"/>
    <cellStyle name="0_!!!GO_consolidated detailed IS 2004_Workings to notes to 20F_FA2005schedule" xfId="1591"/>
    <cellStyle name="0_!!!GO_consolidated detailed IS 2004_Workings to notes to 20F_Grand US workings December 2005" xfId="1592"/>
    <cellStyle name="0_!!!GO_consolidated detailed IS 2004_Workings to notes to 20F_Grand US workings December 2005_Book1" xfId="1593"/>
    <cellStyle name="0_!!!GO_consolidated detailed IS 2004_Workings to notes to 20F_Grand US workings December 2005_Consolidation_2006_Summary (v2) (1)" xfId="1594"/>
    <cellStyle name="0_!!!GO_consolidated detailed IS 2004_Workings to notes to 20F_Grand US workings December 2005_Consolidation_2006_Summary (v3)" xfId="1595"/>
    <cellStyle name="0_!!!GO_consolidated detailed IS 2004_Workings to notes to 20F_Grand US workings December 2005_Consolidation_2006_Summary audit" xfId="1596"/>
    <cellStyle name="0_!!!GO_consolidated detailed IS 2004_Workings to notes to 20F_Grand US workings December 2005_Consolidation_2006_Summary auditBS &amp; PL" xfId="1597"/>
    <cellStyle name="0_!!!GO_consolidated detailed IS 2004_Workings to notes to 20F_Grand US workings December 2005_DeferredTaxLiabilitiesOnFixedAssets" xfId="1598"/>
    <cellStyle name="0_!!!GO_consolidated detailed IS 2004_Workings to notes to 20F_Grand US workings December 2005_Management accounts 2006(UPDATED)" xfId="1599"/>
    <cellStyle name="0_!!!GO_consolidated detailed IS 2004_Workings to notes to 20F_Grand US workings June2005" xfId="1600"/>
    <cellStyle name="0_!!!GO_consolidated detailed IS 2004_Workings to notes to 20F_Grand US workings June2005_Book1" xfId="1601"/>
    <cellStyle name="0_!!!GO_consolidated detailed IS 2004_Workings to notes to 20F_Grand US workings June2005_Consolidation_2006_Summary (v2) (1)" xfId="1602"/>
    <cellStyle name="0_!!!GO_consolidated detailed IS 2004_Workings to notes to 20F_Grand US workings June2005_Consolidation_2006_Summary (v3)" xfId="1603"/>
    <cellStyle name="0_!!!GO_consolidated detailed IS 2004_Workings to notes to 20F_Grand US workings June2005_Consolidation_2006_Summary audit" xfId="1604"/>
    <cellStyle name="0_!!!GO_consolidated detailed IS 2004_Workings to notes to 20F_Grand US workings June2005_Consolidation_2006_Summary auditBS &amp; PL" xfId="1605"/>
    <cellStyle name="0_!!!GO_consolidated detailed IS 2004_Workings to notes to 20F_Grand US workings June2005_DeferredTaxLiabilitiesOnFixedAssets" xfId="1606"/>
    <cellStyle name="0_!!!GO_consolidated detailed IS 2004_Workings to notes to 20F_Grand US workings June2005_Management accounts 2006(UPDATED)" xfId="1607"/>
    <cellStyle name="0_!!!GO_consolidated detailed IS 2004_Workings to notes to 20F_Grand US workings June2005_V10Workings to notes to 6-k June05 (2)" xfId="1608"/>
    <cellStyle name="0_!!!GO_consolidated detailed IS 2004_Workings to notes to 20F_HUAYANGv5(revised by dy)  wORKINGS TO nOITE DEC 3104" xfId="1609"/>
    <cellStyle name="0_!!!GO_consolidated detailed IS 2004_Workings to notes to 20F_HUAYANGWorkings to notes to 6-k FY2005-Consol" xfId="1610"/>
    <cellStyle name="0_!!!GO_consolidated detailed IS 2004_Workings to notes to 20F_Inventory  AR March 31 2005" xfId="1611"/>
    <cellStyle name="0_!!!GO_consolidated detailed IS 2004_Workings to notes to 20F_KD(5) Workings to notes to 6-k 2005_v17.3.06" xfId="1612"/>
    <cellStyle name="0_!!!GO_consolidated detailed IS 2004_Workings to notes to 20F_KORD Workings to notes to 6-k 2005_v17.3.06" xfId="1613"/>
    <cellStyle name="0_!!!GO_consolidated detailed IS 2004_Workings to notes to 20F_NOTES TO CASH" xfId="1614"/>
    <cellStyle name="0_!!!GO_consolidated detailed IS 2004_Workings to notes to 20F_October 2005BLANK(PLAYWELL)Workings to notes to 6-k Sept05" xfId="1615"/>
    <cellStyle name="0_!!!GO_consolidated detailed IS 2004_Workings to notes to 20F_OPTIONS  RECAPjune10,2005updated" xfId="1616"/>
    <cellStyle name="0_!!!GO_consolidated detailed IS 2004_Workings to notes to 20F_PIL RPT movements" xfId="1617"/>
    <cellStyle name="0_!!!GO_consolidated detailed IS 2004_Workings to notes to 20F_PLAYWELL Workings to notes to 6-k Dec 05" xfId="1618"/>
    <cellStyle name="0_!!!GO_consolidated detailed IS 2004_Workings to notes to 20F_PLAYWELL Workings to notes to 6-k June04" xfId="1619"/>
    <cellStyle name="0_!!!GO_consolidated detailed IS 2004_Workings to notes to 20F_Sheet2" xfId="1620"/>
    <cellStyle name="0_!!!GO_consolidated detailed IS 2004_Workings to notes to 20F_Sheet3" xfId="1621"/>
    <cellStyle name="0_!!!GO_consolidated detailed IS 2004_Workings to notes to 20F_Sheet4" xfId="1622"/>
    <cellStyle name="0_!!!GO_consolidated detailed IS 2004_Workings to notes to 20F_Top Lines (AC)" xfId="1623"/>
    <cellStyle name="0_!!!GO_consolidated detailed IS 2004_Workings to notes to 20F_V1 Dec 2005  1" xfId="1624"/>
    <cellStyle name="0_!!!GO_consolidated detailed IS 2004_Workings to notes to 20F_V1 July05 " xfId="1625"/>
    <cellStyle name="0_!!!GO_consolidated detailed IS 2004_Workings to notes to 20F_V10Workings to notes to 6-k June05 (2)" xfId="1626"/>
    <cellStyle name="0_!!!GO_consolidated detailed IS 2004_Workings to notes to 20F_V11workings to notes to 2004 inc HY and KD1" xfId="1627"/>
    <cellStyle name="0_!!!GO_consolidated detailed IS 2004_Workings to notes to 20F_V11workings to notes to 2004 inc HY and KD1_Book1" xfId="1628"/>
    <cellStyle name="0_!!!GO_consolidated detailed IS 2004_Workings to notes to 20F_V11workings to notes to 2004 inc HY and KD1_Consolidation_2006_Summary (v2) (1)" xfId="1629"/>
    <cellStyle name="0_!!!GO_consolidated detailed IS 2004_Workings to notes to 20F_V11workings to notes to 2004 inc HY and KD1_Consolidation_2006_Summary (v3)" xfId="1630"/>
    <cellStyle name="0_!!!GO_consolidated detailed IS 2004_Workings to notes to 20F_V11workings to notes to 2004 inc HY and KD1_Consolidation_2006_Summary audit" xfId="1631"/>
    <cellStyle name="0_!!!GO_consolidated detailed IS 2004_Workings to notes to 20F_V11workings to notes to 2004 inc HY and KD1_Consolidation_2006_Summary auditBS &amp; PL" xfId="1632"/>
    <cellStyle name="0_!!!GO_consolidated detailed IS 2004_Workings to notes to 20F_V11workings to notes to 2004 inc HY and KD1_DeferredTaxLiabilitiesOnFixedAssets" xfId="1633"/>
    <cellStyle name="0_!!!GO_consolidated detailed IS 2004_Workings to notes to 20F_V11workings to notes to 2004 inc HY and KD1_Management accounts 2006(UPDATED)" xfId="1634"/>
    <cellStyle name="0_!!!GO_consolidated detailed IS 2004_Workings to notes to 20F_V14 Dec 2005  1" xfId="1635"/>
    <cellStyle name="0_!!!GO_consolidated detailed IS 2004_Workings to notes to 20F_V18 Dec 2005 TC" xfId="1636"/>
    <cellStyle name="0_!!!GO_consolidated detailed IS 2004_Workings to notes to 20F_V29workings to notes to 2004 inc HY and KD1(1)" xfId="1637"/>
    <cellStyle name="0_!!!GO_consolidated detailed IS 2004_Workings to notes to 20F_V29workings to notes to 2004 inc HY and KD1(1)_Book1" xfId="1638"/>
    <cellStyle name="0_!!!GO_consolidated detailed IS 2004_Workings to notes to 20F_V29workings to notes to 2004 inc HY and KD1(1)_Consolidation_2006_Summary (v2) (1)" xfId="1639"/>
    <cellStyle name="0_!!!GO_consolidated detailed IS 2004_Workings to notes to 20F_V29workings to notes to 2004 inc HY and KD1(1)_Consolidation_2006_Summary (v3)" xfId="1640"/>
    <cellStyle name="0_!!!GO_consolidated detailed IS 2004_Workings to notes to 20F_V29workings to notes to 2004 inc HY and KD1(1)_Consolidation_2006_Summary audit" xfId="1641"/>
    <cellStyle name="0_!!!GO_consolidated detailed IS 2004_Workings to notes to 20F_V29workings to notes to 2004 inc HY and KD1(1)_Consolidation_2006_Summary auditBS &amp; PL" xfId="1642"/>
    <cellStyle name="0_!!!GO_consolidated detailed IS 2004_Workings to notes to 20F_V29workings to notes to 2004 inc HY and KD1(1)_DeferredTaxLiabilitiesOnFixedAssets" xfId="1643"/>
    <cellStyle name="0_!!!GO_consolidated detailed IS 2004_Workings to notes to 20F_V29workings to notes to 2004 inc HY and KD1(1)_Management accounts 2006(UPDATED)" xfId="1644"/>
    <cellStyle name="0_!!!GO_consolidated detailed IS 2004_Workings to notes to 20F_V2BLANK(PLAYWELL)Workings to notes to 6-k June05" xfId="1645"/>
    <cellStyle name="0_!!!GO_consolidated detailed IS 2004_Workings to notes to 20F_V2Dec 2005  1" xfId="1646"/>
    <cellStyle name="0_!!!GO_consolidated detailed IS 2004_Workings to notes to 20F_V2DSep2005 " xfId="1647"/>
    <cellStyle name="0_!!!GO_consolidated detailed IS 2004_Workings to notes to 20F_V2FSep2005 tc" xfId="1648"/>
    <cellStyle name="0_!!!GO_consolidated detailed IS 2004_Workings to notes to 20F_V2ISep2005 " xfId="1649"/>
    <cellStyle name="0_!!!GO_consolidated detailed IS 2004_Workings to notes to 20F_V2October 19 05Workings to notes to 6-k Sept05" xfId="1650"/>
    <cellStyle name="0_!!!GO_consolidated detailed IS 2004_Workings to notes to 20F_V30workings to notes to 2004 inc HY and KD1(1)" xfId="1651"/>
    <cellStyle name="0_!!!GO_consolidated detailed IS 2004_Workings to notes to 20F_V30workings to notes to 2004 inc HY and KD1(1)_Book1" xfId="1652"/>
    <cellStyle name="0_!!!GO_consolidated detailed IS 2004_Workings to notes to 20F_V30workings to notes to 2004 inc HY and KD1(1)_Consolidation_2006_Summary (v2) (1)" xfId="1653"/>
    <cellStyle name="0_!!!GO_consolidated detailed IS 2004_Workings to notes to 20F_V30workings to notes to 2004 inc HY and KD1(1)_Consolidation_2006_Summary (v3)" xfId="1654"/>
    <cellStyle name="0_!!!GO_consolidated detailed IS 2004_Workings to notes to 20F_V30workings to notes to 2004 inc HY and KD1(1)_Consolidation_2006_Summary audit" xfId="1655"/>
    <cellStyle name="0_!!!GO_consolidated detailed IS 2004_Workings to notes to 20F_V30workings to notes to 2004 inc HY and KD1(1)_Consolidation_2006_Summary auditBS &amp; PL" xfId="1656"/>
    <cellStyle name="0_!!!GO_consolidated detailed IS 2004_Workings to notes to 20F_V30workings to notes to 2004 inc HY and KD1(1)_DeferredTaxLiabilitiesOnFixedAssets" xfId="1657"/>
    <cellStyle name="0_!!!GO_consolidated detailed IS 2004_Workings to notes to 20F_V30workings to notes to 2004 inc HY and KD1(1)_Management accounts 2006(UPDATED)" xfId="1658"/>
    <cellStyle name="0_!!!GO_consolidated detailed IS 2004_Workings to notes to 20F_V31 Dec 2005 " xfId="1659"/>
    <cellStyle name="0_!!!GO_consolidated detailed IS 2004_Workings to notes to 20F_V31(2) Dec 2005 (2)" xfId="1660"/>
    <cellStyle name="0_!!!GO_consolidated detailed IS 2004_Workings to notes to 20F_V32(2) (2004)" xfId="1661"/>
    <cellStyle name="0_!!!GO_consolidated detailed IS 2004_Workings to notes to 20F_V32(2) (2004)_Consolidation_2006_Summary (v2) (1)" xfId="1662"/>
    <cellStyle name="0_!!!GO_consolidated detailed IS 2004_Workings to notes to 20F_V32(2) (2004)_Consolidation_2006_Summary (v3)" xfId="1663"/>
    <cellStyle name="0_!!!GO_consolidated detailed IS 2004_Workings to notes to 20F_V32(2) (2004)_Consolidation_2006_Summary audit" xfId="1664"/>
    <cellStyle name="0_!!!GO_consolidated detailed IS 2004_Workings to notes to 20F_V32(2) (2004)_Consolidation_2006_Summary auditBS &amp; PL" xfId="1665"/>
    <cellStyle name="0_!!!GO_consolidated detailed IS 2004_Workings to notes to 20F_V32(2) (2004)_Management accounts 2006(UPDATED)" xfId="1666"/>
    <cellStyle name="0_!!!GO_consolidated detailed IS 2004_Workings to notes to 20F_V32(3) (2004)" xfId="1667"/>
    <cellStyle name="0_!!!GO_consolidated detailed IS 2004_Workings to notes to 20F_V32(3) (2004)_Consolidation_2006_Summary (v2) (1)" xfId="1668"/>
    <cellStyle name="0_!!!GO_consolidated detailed IS 2004_Workings to notes to 20F_V32(3) (2004)_Consolidation_2006_Summary (v3)" xfId="1669"/>
    <cellStyle name="0_!!!GO_consolidated detailed IS 2004_Workings to notes to 20F_V32(3) (2004)_Consolidation_2006_Summary audit" xfId="1670"/>
    <cellStyle name="0_!!!GO_consolidated detailed IS 2004_Workings to notes to 20F_V32(3) (2004)_Consolidation_2006_Summary auditBS &amp; PL" xfId="1671"/>
    <cellStyle name="0_!!!GO_consolidated detailed IS 2004_Workings to notes to 20F_V32(3) (2004)_Management accounts 2006(UPDATED)" xfId="1672"/>
    <cellStyle name="0_!!!GO_consolidated detailed IS 2004_Workings to notes to 20F_V32(7) (2004)fixed as per DTT" xfId="1673"/>
    <cellStyle name="0_!!!GO_consolidated detailed IS 2004_Workings to notes to 20F_V32(7) (2004)fixed as per DTT_Consolidation_2006_Summary (v2) (1)" xfId="1674"/>
    <cellStyle name="0_!!!GO_consolidated detailed IS 2004_Workings to notes to 20F_V32(7) (2004)fixed as per DTT_Consolidation_2006_Summary (v3)" xfId="1675"/>
    <cellStyle name="0_!!!GO_consolidated detailed IS 2004_Workings to notes to 20F_V32(7) (2004)fixed as per DTT_Consolidation_2006_Summary audit" xfId="1676"/>
    <cellStyle name="0_!!!GO_consolidated detailed IS 2004_Workings to notes to 20F_V32(7) (2004)fixed as per DTT_Consolidation_2006_Summary auditBS &amp; PL" xfId="1677"/>
    <cellStyle name="0_!!!GO_consolidated detailed IS 2004_Workings to notes to 20F_V32(7) (2004)fixed as per DTT_Management accounts 2006(UPDATED)" xfId="1678"/>
    <cellStyle name="0_!!!GO_consolidated detailed IS 2004_Workings to notes to 20F_V32(9) DTT(2004)as per DTTNov 1306" xfId="1679"/>
    <cellStyle name="0_!!!GO_consolidated detailed IS 2004_Workings to notes to 20F_V32(9) DTT(2004)as per DTTNov 1306_Consolidation_2006_Summary (v2) (1)" xfId="1680"/>
    <cellStyle name="0_!!!GO_consolidated detailed IS 2004_Workings to notes to 20F_V32(9) DTT(2004)as per DTTNov 1306_Consolidation_2006_Summary (v3)" xfId="1681"/>
    <cellStyle name="0_!!!GO_consolidated detailed IS 2004_Workings to notes to 20F_V32(9) DTT(2004)as per DTTNov 1306_Consolidation_2006_Summary audit" xfId="1682"/>
    <cellStyle name="0_!!!GO_consolidated detailed IS 2004_Workings to notes to 20F_V32(9) DTT(2004)as per DTTNov 1306_Consolidation_2006_Summary auditBS &amp; PL" xfId="1683"/>
    <cellStyle name="0_!!!GO_consolidated detailed IS 2004_Workings to notes to 20F_V32(9) DTT(2004)as per DTTNov 1306_Management accounts 2006(UPDATED)" xfId="1684"/>
    <cellStyle name="0_!!!GO_consolidated detailed IS 2004_Workings to notes to 20F_V38(5)(2005) " xfId="1685"/>
    <cellStyle name="0_!!!GO_consolidated detailed IS 2004_Workings to notes to 20F_V38(8)(2005)fixed as per DTT " xfId="1686"/>
    <cellStyle name="0_!!!GO_consolidated detailed IS 2004_Workings to notes to 20F_V39(2005) " xfId="1687"/>
    <cellStyle name="0_!!!GO_consolidated detailed IS 2004_Workings to notes to 20F_v3march1705KORD Workings to notes to 6-k 2004_v17.3.06" xfId="1688"/>
    <cellStyle name="0_!!!GO_consolidated detailed IS 2004_Workings to notes to 20F_V4Dec 2005  1" xfId="1689"/>
    <cellStyle name="0_!!!GO_consolidated detailed IS 2004_Workings to notes to 20F_V8TCWorkings to notes to 6-k June05" xfId="1690"/>
    <cellStyle name="0_!!!GO_consolidated detailed IS 2004_Workings to notes to 20F_Workings to notes to 6-k FY2005-Consol-V3" xfId="1691"/>
    <cellStyle name="0_!!!GO_consolidated detailed IS 2004_Workings to notes to 20F_Workings to notes to 6-k FY2005-Consol-V37" xfId="1692"/>
    <cellStyle name="0_!!!GO_consolidated detailed IS 2004_Workings to notes to 20F_Workings to notes to 6-k FY2005-Consol-V8" xfId="1693"/>
    <cellStyle name="0_!!!GO_consolidated detailed IS 2004_Workings to notes to 20F_Workings to notes to 6-k June05v1" xfId="1694"/>
    <cellStyle name="0_!!!GO_consolidated detailed IS 2004_Workings to notes to 20F_Workings to notes to 6-k June05v2" xfId="1695"/>
    <cellStyle name="0_!!!GO_consolidated detailed IS 2004_Workings to notes to 20F_Workings to notes to 6-k June05v3" xfId="1696"/>
    <cellStyle name="0_!!!GO_consolidated detailed IS 2004_Workings to notes to 20F_Workings to notes to 6-k Mar05v13TC" xfId="1697"/>
    <cellStyle name="0_!!!GO_consolidated detailed IS 2004_Workings to notes to 20F_Workings to notes to 6-k Mar05v17" xfId="1698"/>
    <cellStyle name="0_!!!GO_consolidated detailed IS 2004_Workings to notes to 6-k FY2005-Consol-V3" xfId="1699"/>
    <cellStyle name="0_!!!GO_consolidated detailed IS 2004_Workings to notes to 6-k FY2005-Consol-V37" xfId="1700"/>
    <cellStyle name="0_!!!GO_consolidated detailed IS 2004_Workings to notes to 6-k FY2005-Consol-V8" xfId="1701"/>
    <cellStyle name="0_!!!GO_consolidated detailed IS 2004_Workings to notes to 6-k June05v1" xfId="1702"/>
    <cellStyle name="0_!!!GO_consolidated detailed IS 2004_Workings to notes to 6-k June05v2" xfId="1703"/>
    <cellStyle name="0_!!!GO_consolidated detailed IS 2004_Workings to notes to 6-k June05v3" xfId="1704"/>
    <cellStyle name="0_!!!GO_consolidated detailed IS 2004_Workings to notes to 6-k Mar05v13TC" xfId="1705"/>
    <cellStyle name="0_!!!GO_consolidated detailed IS 2004_Workings to notes to 6-k Mar05v17" xfId="1706"/>
    <cellStyle name="0_!!!GO_consolidated detailed IS 2004_Workings to notes to 6-k Mar05v19(div)" xfId="1707"/>
    <cellStyle name="0_!!!GO_final 2004GrandUS only" xfId="1708"/>
    <cellStyle name="0_!!!GO_final 2004GrandUS only_Book1" xfId="1709"/>
    <cellStyle name="0_!!!GO_final 2004GrandUS only_Consolidation_2006_Summary (v2) (1)" xfId="1710"/>
    <cellStyle name="0_!!!GO_final 2004GrandUS only_Consolidation_2006_Summary (v3)" xfId="1711"/>
    <cellStyle name="0_!!!GO_final 2004GrandUS only_Consolidation_2006_Summary audit" xfId="1712"/>
    <cellStyle name="0_!!!GO_final 2004GrandUS only_Consolidation_2006_Summary auditBS &amp; PL" xfId="1713"/>
    <cellStyle name="0_!!!GO_final 2004GrandUS only_DeferredTaxLiabilitiesOnFixedAssets" xfId="1714"/>
    <cellStyle name="0_!!!GO_final 2004GrandUS only_Management accounts 2006(UPDATED)" xfId="1715"/>
    <cellStyle name="0_!!!GO_Grand HK Consolidated Consolidated Statements 93004r4" xfId="1716"/>
    <cellStyle name="0_!!!GO_Grand HK Consolidated Consolidated Statements 93004r4_20-F DEC 31 2004v11" xfId="1717"/>
    <cellStyle name="0_!!!GO_Grand HK Consolidated Consolidated Statements 93004r4_A4Cash flow1" xfId="1718"/>
    <cellStyle name="0_!!!GO_Grand HK Consolidated Consolidated Statements 93004r4_AE(tania)consolidated FS oct 30 04revised 2 (nov304R)" xfId="1719"/>
    <cellStyle name="0_!!!GO_Grand HK Consolidated Consolidated Statements 93004r4_AFconsolidated FS oct 30 04revised 2 (nov304R)(TER)1" xfId="1720"/>
    <cellStyle name="0_!!!GO_Grand hk scheduels 2005" xfId="1721"/>
    <cellStyle name="0_!!!GO_Grand hk scheduels 2005_(3)Grand US workings December 2005" xfId="1722"/>
    <cellStyle name="0_!!!GO_Grand hk scheduels 2005_A2PLAYWELLWorkings to notes to 6-k Dec 051" xfId="1723"/>
    <cellStyle name="0_!!!GO_Grand hk scheduels 2005_BLANK(iNT pLAY))(2)Workings to notes to 6-k September051" xfId="1724"/>
    <cellStyle name="0_!!!GO_Grand hk scheduels 2005_BLANK(iNT pLAY))Workings to notes to 6-k June05" xfId="1725"/>
    <cellStyle name="0_!!!GO_Grand hk scheduels 2005_Book1" xfId="1726"/>
    <cellStyle name="0_!!!GO_Grand hk scheduels 2005_cashflow05K01" xfId="1727"/>
    <cellStyle name="0_!!!GO_Grand hk scheduels 2005_consolidation entries 2004" xfId="1728"/>
    <cellStyle name="0_!!!GO_Grand hk scheduels 2005_corporate tax entry allocation" xfId="1729"/>
    <cellStyle name="0_!!!GO_Grand hk scheduels 2005_DeferredTaxLiabilitiesOnFixedAssets" xfId="1730"/>
    <cellStyle name="0_!!!GO_Grand hk scheduels 2005_Detailed Conso july 2005" xfId="1731"/>
    <cellStyle name="0_!!!GO_Grand hk scheduels 2005_FA2005schedule" xfId="1732"/>
    <cellStyle name="0_!!!GO_Grand hk scheduels 2005_Grand US workings December 2005" xfId="1733"/>
    <cellStyle name="0_!!!GO_Grand hk scheduels 2005_Grand US workings June2005" xfId="1734"/>
    <cellStyle name="0_!!!GO_Grand hk scheduels 2005_HUAYANGWorkings to notes to 6-k FY2005-Consol" xfId="1735"/>
    <cellStyle name="0_!!!GO_Grand hk scheduels 2005_Inventory  AR March 31 2005" xfId="1736"/>
    <cellStyle name="0_!!!GO_Grand hk scheduels 2005_KD(5) Workings to notes to 6-k 2005_v17.3.06" xfId="1737"/>
    <cellStyle name="0_!!!GO_Grand hk scheduels 2005_KORD Workings to notes to 6-k 2005_v17.3.06" xfId="1738"/>
    <cellStyle name="0_!!!GO_Grand hk scheduels 2005_NOTES TO CASH" xfId="1739"/>
    <cellStyle name="0_!!!GO_Grand hk scheduels 2005_October 2005BLANK(PLAYWELL)Workings to notes to 6-k Sept05" xfId="1740"/>
    <cellStyle name="0_!!!GO_Grand hk scheduels 2005_OPTIONS  RECAPjune10,2005updated" xfId="1741"/>
    <cellStyle name="0_!!!GO_Grand hk scheduels 2005_PIL RPT movements" xfId="1742"/>
    <cellStyle name="0_!!!GO_Grand hk scheduels 2005_PLAYWELL Workings to notes to 6-k Dec 05" xfId="1743"/>
    <cellStyle name="0_!!!GO_Grand hk scheduels 2005_PLAYWELL Workings to notes to 6-k June04" xfId="1744"/>
    <cellStyle name="0_!!!GO_Grand hk scheduels 2005_Sheet2" xfId="1745"/>
    <cellStyle name="0_!!!GO_Grand hk scheduels 2005_Sheet3" xfId="1746"/>
    <cellStyle name="0_!!!GO_Grand hk scheduels 2005_Sheet4" xfId="1747"/>
    <cellStyle name="0_!!!GO_Grand hk scheduels 2005_Top Lines (AC)" xfId="1748"/>
    <cellStyle name="0_!!!GO_Grand hk scheduels 2005_V10Workings to notes to 6-k June05 (2)" xfId="1749"/>
    <cellStyle name="0_!!!GO_Grand hk scheduels 2005_V11workings to notes to 2004 inc HY and KD1" xfId="1750"/>
    <cellStyle name="0_!!!GO_Grand hk scheduels 2005_V18 Dec 2005 TC" xfId="1751"/>
    <cellStyle name="0_!!!GO_Grand hk scheduels 2005_V29workings to notes to 2004 inc HY and KD1(1)" xfId="1752"/>
    <cellStyle name="0_!!!GO_Grand hk scheduels 2005_V2BLANK(PLAYWELL)Workings to notes to 6-k June05" xfId="1753"/>
    <cellStyle name="0_!!!GO_Grand hk scheduels 2005_V2FSep2005 tc" xfId="1754"/>
    <cellStyle name="0_!!!GO_Grand hk scheduels 2005_V2October 19 05Workings to notes to 6-k Sept05" xfId="1755"/>
    <cellStyle name="0_!!!GO_Grand hk scheduels 2005_V30workings to notes to 2004 inc HY and KD1(1)" xfId="1756"/>
    <cellStyle name="0_!!!GO_Grand hk scheduels 2005_V31(2) Dec 2005 (2)" xfId="1757"/>
    <cellStyle name="0_!!!GO_Grand hk scheduels 2005_V32(2) (2004)" xfId="1758"/>
    <cellStyle name="0_!!!GO_Grand hk scheduels 2005_V32(3) (2004)" xfId="1759"/>
    <cellStyle name="0_!!!GO_Grand hk scheduels 2005_V32(7) (2004)fixed as per DTT" xfId="1760"/>
    <cellStyle name="0_!!!GO_Grand hk scheduels 2005_V32(9) DTT(2004)as per DTTNov 1306" xfId="1761"/>
    <cellStyle name="0_!!!GO_Grand hk scheduels 2005_V39(2005) " xfId="1762"/>
    <cellStyle name="0_!!!GO_Grand hk scheduels 2005_V8TCWorkings to notes to 6-k June05" xfId="1763"/>
    <cellStyle name="0_!!!GO_Grand hk scheduels 2005_Workings to notes to 6-k FY2005-Consol-V3" xfId="1764"/>
    <cellStyle name="0_!!!GO_Grand hk scheduels 2005_Workings to notes to 6-k FY2005-Consol-V37" xfId="1765"/>
    <cellStyle name="0_!!!GO_Grand hk scheduels 2005_Workings to notes to 6-k FY2005-Consol-V8" xfId="1766"/>
    <cellStyle name="0_!!!GO_Grand hk scheduels 2005_Workings to notes to 6-k June05v3" xfId="1767"/>
    <cellStyle name="0_!!!GO_Grand hk scheduels 2005_Workings to notes to 6-k Mar05v13TC" xfId="1768"/>
    <cellStyle name="0_!!!GO_Grand hk scheduels 2005_Workings to notes to 6-k Mar05v17" xfId="1769"/>
    <cellStyle name="0_!!!GO_Grand hk scheduelsjune 2005" xfId="1770"/>
    <cellStyle name="0_!!!GO_Grand hk scheduelsjune 2005_Book1" xfId="1771"/>
    <cellStyle name="0_!!!GO_Grand hk scheduelsjune 2005_Consolidation_2006_Summary (v2) (1)" xfId="1772"/>
    <cellStyle name="0_!!!GO_Grand hk scheduelsjune 2005_Consolidation_2006_Summary (v3)" xfId="1773"/>
    <cellStyle name="0_!!!GO_Grand hk scheduelsjune 2005_Consolidation_2006_Summary audit" xfId="1774"/>
    <cellStyle name="0_!!!GO_Grand hk scheduelsjune 2005_Consolidation_2006_Summary auditBS &amp; PL" xfId="1775"/>
    <cellStyle name="0_!!!GO_Grand hk scheduelsjune 2005_DeferredTaxLiabilitiesOnFixedAssets" xfId="1776"/>
    <cellStyle name="0_!!!GO_Grand hk scheduelsjune 2005_Management accounts 2006(UPDATED)" xfId="1777"/>
    <cellStyle name="0_!!!GO_Grand hk scheduelsjune 2005_V10Workings to notes to 6-k June05 (2)" xfId="1778"/>
    <cellStyle name="0_!!!GO_Grand US workings December 2005" xfId="1779"/>
    <cellStyle name="0_!!!GO_Grand US workings December 2005_Book1" xfId="1780"/>
    <cellStyle name="0_!!!GO_Grand US workings December 2005_Consolidation_2006_Summary (v2) (1)" xfId="1781"/>
    <cellStyle name="0_!!!GO_Grand US workings December 2005_Consolidation_2006_Summary (v3)" xfId="1782"/>
    <cellStyle name="0_!!!GO_Grand US workings December 2005_Consolidation_2006_Summary audit" xfId="1783"/>
    <cellStyle name="0_!!!GO_Grand US workings December 2005_Consolidation_2006_Summary auditBS &amp; PL" xfId="1784"/>
    <cellStyle name="0_!!!GO_Grand US workings December 2005_DeferredTaxLiabilitiesOnFixedAssets" xfId="1785"/>
    <cellStyle name="0_!!!GO_Grand US workings December 2005_Management accounts 2006(UPDATED)" xfId="1786"/>
    <cellStyle name="0_!!!GO_Grand US workings June2005" xfId="1787"/>
    <cellStyle name="0_!!!GO_Grand US workings June2005_Book1" xfId="1788"/>
    <cellStyle name="0_!!!GO_Grand US workings June2005_Consolidation_2006_Summary (v2) (1)" xfId="1789"/>
    <cellStyle name="0_!!!GO_Grand US workings June2005_Consolidation_2006_Summary (v3)" xfId="1790"/>
    <cellStyle name="0_!!!GO_Grand US workings June2005_Consolidation_2006_Summary audit" xfId="1791"/>
    <cellStyle name="0_!!!GO_Grand US workings June2005_Consolidation_2006_Summary auditBS &amp; PL" xfId="1792"/>
    <cellStyle name="0_!!!GO_Grand US workings June2005_DeferredTaxLiabilitiesOnFixedAssets" xfId="1793"/>
    <cellStyle name="0_!!!GO_Grand US workings June2005_Management accounts 2006(UPDATED)" xfId="1794"/>
    <cellStyle name="0_!!!GO_Grand US workings June2005_V10Workings to notes to 6-k June05 (2)" xfId="1795"/>
    <cellStyle name="0_!!!GO_GTHK APIC 2004" xfId="1796"/>
    <cellStyle name="0_!!!GO_GTHK APIC 2004_(3)Grand US workings December 2005" xfId="1797"/>
    <cellStyle name="0_!!!GO_GTHK APIC 2004_(3)Grand US workings December 2005_Book1" xfId="1798"/>
    <cellStyle name="0_!!!GO_GTHK APIC 2004_(3)Grand US workings December 2005_Consolidation_2006_Summary (v2) (1)" xfId="1799"/>
    <cellStyle name="0_!!!GO_GTHK APIC 2004_(3)Grand US workings December 2005_Consolidation_2006_Summary (v3)" xfId="1800"/>
    <cellStyle name="0_!!!GO_GTHK APIC 2004_(3)Grand US workings December 2005_Consolidation_2006_Summary audit" xfId="1801"/>
    <cellStyle name="0_!!!GO_GTHK APIC 2004_(3)Grand US workings December 2005_Consolidation_2006_Summary auditBS &amp; PL" xfId="1802"/>
    <cellStyle name="0_!!!GO_GTHK APIC 2004_(3)Grand US workings December 2005_DeferredTaxLiabilitiesOnFixedAssets" xfId="1803"/>
    <cellStyle name="0_!!!GO_GTHK APIC 2004_(3)Grand US workings December 2005_Management accounts 2006(UPDATED)" xfId="1804"/>
    <cellStyle name="0_!!!GO_GTHK APIC 2004_A2PLAYWELLWorkings to notes to 6-k Dec 051" xfId="1805"/>
    <cellStyle name="0_!!!GO_GTHK APIC 2004_BLANK(iNT pLAY))(2)Workings to notes to 6-k September051" xfId="1806"/>
    <cellStyle name="0_!!!GO_GTHK APIC 2004_BLANK(iNT pLAY))Workings to notes to 6-k June05" xfId="1807"/>
    <cellStyle name="0_!!!GO_GTHK APIC 2004_Book1" xfId="1808"/>
    <cellStyle name="0_!!!GO_GTHK APIC 2004_cashflow05K01" xfId="1809"/>
    <cellStyle name="0_!!!GO_GTHK APIC 2004_consolidation entries 2004" xfId="1810"/>
    <cellStyle name="0_!!!GO_GTHK APIC 2004_consolidation entries 2004_Consolidation_2006_Summary (v2) (1)" xfId="1811"/>
    <cellStyle name="0_!!!GO_GTHK APIC 2004_consolidation entries 2004_Consolidation_2006_Summary (v3)" xfId="1812"/>
    <cellStyle name="0_!!!GO_GTHK APIC 2004_consolidation entries 2004_Consolidation_2006_Summary audit" xfId="1813"/>
    <cellStyle name="0_!!!GO_GTHK APIC 2004_consolidation entries 2004_Consolidation_2006_Summary auditBS &amp; PL" xfId="1814"/>
    <cellStyle name="0_!!!GO_GTHK APIC 2004_consolidation entries 2004_Management accounts 2006(UPDATED)" xfId="1815"/>
    <cellStyle name="0_!!!GO_GTHK APIC 2004_corporate tax entry allocation" xfId="1816"/>
    <cellStyle name="0_!!!GO_GTHK APIC 2004_DeferredTaxLiabilitiesOnFixedAssets" xfId="1817"/>
    <cellStyle name="0_!!!GO_GTHK APIC 2004_Detailed Conso july 2005" xfId="1818"/>
    <cellStyle name="0_!!!GO_GTHK APIC 2004_Detailed Conso july 2005_Book1" xfId="1819"/>
    <cellStyle name="0_!!!GO_GTHK APIC 2004_Detailed Conso july 2005_Consolidation_2006_Summary (v2) (1)" xfId="1820"/>
    <cellStyle name="0_!!!GO_GTHK APIC 2004_Detailed Conso july 2005_Consolidation_2006_Summary (v3)" xfId="1821"/>
    <cellStyle name="0_!!!GO_GTHK APIC 2004_Detailed Conso july 2005_Consolidation_2006_Summary audit" xfId="1822"/>
    <cellStyle name="0_!!!GO_GTHK APIC 2004_Detailed Conso july 2005_Consolidation_2006_Summary auditBS &amp; PL" xfId="1823"/>
    <cellStyle name="0_!!!GO_GTHK APIC 2004_Detailed Conso july 2005_DeferredTaxLiabilitiesOnFixedAssets" xfId="1824"/>
    <cellStyle name="0_!!!GO_GTHK APIC 2004_Detailed Conso july 2005_Management accounts 2006(UPDATED)" xfId="1825"/>
    <cellStyle name="0_!!!GO_GTHK APIC 2004_FA2005schedule" xfId="1826"/>
    <cellStyle name="0_!!!GO_GTHK APIC 2004_Grand US workings December 2005" xfId="1827"/>
    <cellStyle name="0_!!!GO_GTHK APIC 2004_Grand US workings December 2005_Book1" xfId="1828"/>
    <cellStyle name="0_!!!GO_GTHK APIC 2004_Grand US workings December 2005_Consolidation_2006_Summary (v2) (1)" xfId="1829"/>
    <cellStyle name="0_!!!GO_GTHK APIC 2004_Grand US workings December 2005_Consolidation_2006_Summary (v3)" xfId="1830"/>
    <cellStyle name="0_!!!GO_GTHK APIC 2004_Grand US workings December 2005_Consolidation_2006_Summary audit" xfId="1831"/>
    <cellStyle name="0_!!!GO_GTHK APIC 2004_Grand US workings December 2005_Consolidation_2006_Summary auditBS &amp; PL" xfId="1832"/>
    <cellStyle name="0_!!!GO_GTHK APIC 2004_Grand US workings December 2005_DeferredTaxLiabilitiesOnFixedAssets" xfId="1833"/>
    <cellStyle name="0_!!!GO_GTHK APIC 2004_Grand US workings December 2005_Management accounts 2006(UPDATED)" xfId="1834"/>
    <cellStyle name="0_!!!GO_GTHK APIC 2004_Grand US workings June2005" xfId="1835"/>
    <cellStyle name="0_!!!GO_GTHK APIC 2004_Grand US workings June2005_Book1" xfId="1836"/>
    <cellStyle name="0_!!!GO_GTHK APIC 2004_Grand US workings June2005_Consolidation_2006_Summary (v2) (1)" xfId="1837"/>
    <cellStyle name="0_!!!GO_GTHK APIC 2004_Grand US workings June2005_Consolidation_2006_Summary (v3)" xfId="1838"/>
    <cellStyle name="0_!!!GO_GTHK APIC 2004_Grand US workings June2005_Consolidation_2006_Summary audit" xfId="1839"/>
    <cellStyle name="0_!!!GO_GTHK APIC 2004_Grand US workings June2005_Consolidation_2006_Summary auditBS &amp; PL" xfId="1840"/>
    <cellStyle name="0_!!!GO_GTHK APIC 2004_Grand US workings June2005_DeferredTaxLiabilitiesOnFixedAssets" xfId="1841"/>
    <cellStyle name="0_!!!GO_GTHK APIC 2004_Grand US workings June2005_Management accounts 2006(UPDATED)" xfId="1842"/>
    <cellStyle name="0_!!!GO_GTHK APIC 2004_Grand US workings June2005_V10Workings to notes to 6-k June05 (2)" xfId="1843"/>
    <cellStyle name="0_!!!GO_GTHK APIC 2004_HUAYANGv5(revised by dy)  wORKINGS TO nOITE DEC 3104" xfId="1844"/>
    <cellStyle name="0_!!!GO_GTHK APIC 2004_HUAYANGWorkings to notes to 6-k FY2005-Consol" xfId="1845"/>
    <cellStyle name="0_!!!GO_GTHK APIC 2004_Inventory  AR March 31 2005" xfId="1846"/>
    <cellStyle name="0_!!!GO_GTHK APIC 2004_KD(5) Workings to notes to 6-k 2005_v17.3.06" xfId="1847"/>
    <cellStyle name="0_!!!GO_GTHK APIC 2004_KORD Workings to notes to 6-k 2005_v17.3.06" xfId="1848"/>
    <cellStyle name="0_!!!GO_GTHK APIC 2004_NOTES TO CASH" xfId="1849"/>
    <cellStyle name="0_!!!GO_GTHK APIC 2004_October 2005BLANK(PLAYWELL)Workings to notes to 6-k Sept05" xfId="1850"/>
    <cellStyle name="0_!!!GO_GTHK APIC 2004_OPTIONS  RECAPjune10,2005updated" xfId="1851"/>
    <cellStyle name="0_!!!GO_GTHK APIC 2004_PIL RPT movements" xfId="1852"/>
    <cellStyle name="0_!!!GO_GTHK APIC 2004_PLAYWELL Workings to notes to 6-k Dec 05" xfId="1853"/>
    <cellStyle name="0_!!!GO_GTHK APIC 2004_PLAYWELL Workings to notes to 6-k June04" xfId="1854"/>
    <cellStyle name="0_!!!GO_GTHK APIC 2004_Sheet2" xfId="1855"/>
    <cellStyle name="0_!!!GO_GTHK APIC 2004_Sheet3" xfId="1856"/>
    <cellStyle name="0_!!!GO_GTHK APIC 2004_Sheet4" xfId="1857"/>
    <cellStyle name="0_!!!GO_GTHK APIC 2004_Top Lines (AC)" xfId="1858"/>
    <cellStyle name="0_!!!GO_GTHK APIC 2004_V1 Dec 2005  1" xfId="1859"/>
    <cellStyle name="0_!!!GO_GTHK APIC 2004_V1 July05 " xfId="1860"/>
    <cellStyle name="0_!!!GO_GTHK APIC 2004_V10Workings to notes to 6-k June05 (2)" xfId="1861"/>
    <cellStyle name="0_!!!GO_GTHK APIC 2004_V11workings to notes to 2004 inc HY and KD1" xfId="1862"/>
    <cellStyle name="0_!!!GO_GTHK APIC 2004_V11workings to notes to 2004 inc HY and KD1_Book1" xfId="1863"/>
    <cellStyle name="0_!!!GO_GTHK APIC 2004_V11workings to notes to 2004 inc HY and KD1_Consolidation_2006_Summary (v2) (1)" xfId="1864"/>
    <cellStyle name="0_!!!GO_GTHK APIC 2004_V11workings to notes to 2004 inc HY and KD1_Consolidation_2006_Summary (v3)" xfId="1865"/>
    <cellStyle name="0_!!!GO_GTHK APIC 2004_V11workings to notes to 2004 inc HY and KD1_Consolidation_2006_Summary audit" xfId="1866"/>
    <cellStyle name="0_!!!GO_GTHK APIC 2004_V11workings to notes to 2004 inc HY and KD1_Consolidation_2006_Summary auditBS &amp; PL" xfId="1867"/>
    <cellStyle name="0_!!!GO_GTHK APIC 2004_V11workings to notes to 2004 inc HY and KD1_DeferredTaxLiabilitiesOnFixedAssets" xfId="1868"/>
    <cellStyle name="0_!!!GO_GTHK APIC 2004_V11workings to notes to 2004 inc HY and KD1_Management accounts 2006(UPDATED)" xfId="1869"/>
    <cellStyle name="0_!!!GO_GTHK APIC 2004_V14 Dec 2005  1" xfId="1870"/>
    <cellStyle name="0_!!!GO_GTHK APIC 2004_V18 Dec 2005 TC" xfId="1871"/>
    <cellStyle name="0_!!!GO_GTHK APIC 2004_V29workings to notes to 2004 inc HY and KD1(1)" xfId="1872"/>
    <cellStyle name="0_!!!GO_GTHK APIC 2004_V29workings to notes to 2004 inc HY and KD1(1)_Book1" xfId="1873"/>
    <cellStyle name="0_!!!GO_GTHK APIC 2004_V29workings to notes to 2004 inc HY and KD1(1)_Consolidation_2006_Summary (v2) (1)" xfId="1874"/>
    <cellStyle name="0_!!!GO_GTHK APIC 2004_V29workings to notes to 2004 inc HY and KD1(1)_Consolidation_2006_Summary (v3)" xfId="1875"/>
    <cellStyle name="0_!!!GO_GTHK APIC 2004_V29workings to notes to 2004 inc HY and KD1(1)_Consolidation_2006_Summary audit" xfId="1876"/>
    <cellStyle name="0_!!!GO_GTHK APIC 2004_V29workings to notes to 2004 inc HY and KD1(1)_Consolidation_2006_Summary auditBS &amp; PL" xfId="1877"/>
    <cellStyle name="0_!!!GO_GTHK APIC 2004_V29workings to notes to 2004 inc HY and KD1(1)_DeferredTaxLiabilitiesOnFixedAssets" xfId="1878"/>
    <cellStyle name="0_!!!GO_GTHK APIC 2004_V29workings to notes to 2004 inc HY and KD1(1)_Management accounts 2006(UPDATED)" xfId="1879"/>
    <cellStyle name="0_!!!GO_GTHK APIC 2004_V2BLANK(PLAYWELL)Workings to notes to 6-k June05" xfId="1880"/>
    <cellStyle name="0_!!!GO_GTHK APIC 2004_V2Dec 2005  1" xfId="1881"/>
    <cellStyle name="0_!!!GO_GTHK APIC 2004_V2DSep2005 " xfId="1882"/>
    <cellStyle name="0_!!!GO_GTHK APIC 2004_V2FSep2005 tc" xfId="1883"/>
    <cellStyle name="0_!!!GO_GTHK APIC 2004_V2ISep2005 " xfId="1884"/>
    <cellStyle name="0_!!!GO_GTHK APIC 2004_V2October 19 05Workings to notes to 6-k Sept05" xfId="1885"/>
    <cellStyle name="0_!!!GO_GTHK APIC 2004_V30workings to notes to 2004 inc HY and KD1(1)" xfId="1886"/>
    <cellStyle name="0_!!!GO_GTHK APIC 2004_V30workings to notes to 2004 inc HY and KD1(1)_Book1" xfId="1887"/>
    <cellStyle name="0_!!!GO_GTHK APIC 2004_V30workings to notes to 2004 inc HY and KD1(1)_Consolidation_2006_Summary (v2) (1)" xfId="1888"/>
    <cellStyle name="0_!!!GO_GTHK APIC 2004_V30workings to notes to 2004 inc HY and KD1(1)_Consolidation_2006_Summary (v3)" xfId="1889"/>
    <cellStyle name="0_!!!GO_GTHK APIC 2004_V30workings to notes to 2004 inc HY and KD1(1)_Consolidation_2006_Summary audit" xfId="1890"/>
    <cellStyle name="0_!!!GO_GTHK APIC 2004_V30workings to notes to 2004 inc HY and KD1(1)_Consolidation_2006_Summary auditBS &amp; PL" xfId="1891"/>
    <cellStyle name="0_!!!GO_GTHK APIC 2004_V30workings to notes to 2004 inc HY and KD1(1)_DeferredTaxLiabilitiesOnFixedAssets" xfId="1892"/>
    <cellStyle name="0_!!!GO_GTHK APIC 2004_V30workings to notes to 2004 inc HY and KD1(1)_Management accounts 2006(UPDATED)" xfId="1893"/>
    <cellStyle name="0_!!!GO_GTHK APIC 2004_V31 Dec 2005 " xfId="1894"/>
    <cellStyle name="0_!!!GO_GTHK APIC 2004_V31(2) Dec 2005 (2)" xfId="1895"/>
    <cellStyle name="0_!!!GO_GTHK APIC 2004_V32(2) (2004)" xfId="1896"/>
    <cellStyle name="0_!!!GO_GTHK APIC 2004_V32(2) (2004)_Consolidation_2006_Summary (v2) (1)" xfId="1897"/>
    <cellStyle name="0_!!!GO_GTHK APIC 2004_V32(2) (2004)_Consolidation_2006_Summary (v3)" xfId="1898"/>
    <cellStyle name="0_!!!GO_GTHK APIC 2004_V32(2) (2004)_Consolidation_2006_Summary audit" xfId="1899"/>
    <cellStyle name="0_!!!GO_GTHK APIC 2004_V32(2) (2004)_Consolidation_2006_Summary auditBS &amp; PL" xfId="1900"/>
    <cellStyle name="0_!!!GO_GTHK APIC 2004_V32(2) (2004)_Management accounts 2006(UPDATED)" xfId="1901"/>
    <cellStyle name="0_!!!GO_GTHK APIC 2004_V32(3) (2004)" xfId="1902"/>
    <cellStyle name="0_!!!GO_GTHK APIC 2004_V32(3) (2004)_Consolidation_2006_Summary (v2) (1)" xfId="1903"/>
    <cellStyle name="0_!!!GO_GTHK APIC 2004_V32(3) (2004)_Consolidation_2006_Summary (v3)" xfId="1904"/>
    <cellStyle name="0_!!!GO_GTHK APIC 2004_V32(3) (2004)_Consolidation_2006_Summary audit" xfId="1905"/>
    <cellStyle name="0_!!!GO_GTHK APIC 2004_V32(3) (2004)_Consolidation_2006_Summary auditBS &amp; PL" xfId="1906"/>
    <cellStyle name="0_!!!GO_GTHK APIC 2004_V32(3) (2004)_Management accounts 2006(UPDATED)" xfId="1907"/>
    <cellStyle name="0_!!!GO_GTHK APIC 2004_V32(7) (2004)fixed as per DTT" xfId="1908"/>
    <cellStyle name="0_!!!GO_GTHK APIC 2004_V32(7) (2004)fixed as per DTT_Consolidation_2006_Summary (v2) (1)" xfId="1909"/>
    <cellStyle name="0_!!!GO_GTHK APIC 2004_V32(7) (2004)fixed as per DTT_Consolidation_2006_Summary (v3)" xfId="1910"/>
    <cellStyle name="0_!!!GO_GTHK APIC 2004_V32(7) (2004)fixed as per DTT_Consolidation_2006_Summary audit" xfId="1911"/>
    <cellStyle name="0_!!!GO_GTHK APIC 2004_V32(7) (2004)fixed as per DTT_Consolidation_2006_Summary auditBS &amp; PL" xfId="1912"/>
    <cellStyle name="0_!!!GO_GTHK APIC 2004_V32(7) (2004)fixed as per DTT_Management accounts 2006(UPDATED)" xfId="1913"/>
    <cellStyle name="0_!!!GO_GTHK APIC 2004_V32(9) DTT(2004)as per DTTNov 1306" xfId="1914"/>
    <cellStyle name="0_!!!GO_GTHK APIC 2004_V32(9) DTT(2004)as per DTTNov 1306_Consolidation_2006_Summary (v2) (1)" xfId="1915"/>
    <cellStyle name="0_!!!GO_GTHK APIC 2004_V32(9) DTT(2004)as per DTTNov 1306_Consolidation_2006_Summary (v3)" xfId="1916"/>
    <cellStyle name="0_!!!GO_GTHK APIC 2004_V32(9) DTT(2004)as per DTTNov 1306_Consolidation_2006_Summary audit" xfId="1917"/>
    <cellStyle name="0_!!!GO_GTHK APIC 2004_V32(9) DTT(2004)as per DTTNov 1306_Consolidation_2006_Summary auditBS &amp; PL" xfId="1918"/>
    <cellStyle name="0_!!!GO_GTHK APIC 2004_V32(9) DTT(2004)as per DTTNov 1306_Management accounts 2006(UPDATED)" xfId="1919"/>
    <cellStyle name="0_!!!GO_GTHK APIC 2004_V38(5)(2005) " xfId="1920"/>
    <cellStyle name="0_!!!GO_GTHK APIC 2004_V38(8)(2005)fixed as per DTT " xfId="1921"/>
    <cellStyle name="0_!!!GO_GTHK APIC 2004_V39(2005) " xfId="1922"/>
    <cellStyle name="0_!!!GO_GTHK APIC 2004_v3march1705KORD Workings to notes to 6-k 2004_v17.3.06" xfId="1923"/>
    <cellStyle name="0_!!!GO_GTHK APIC 2004_V4Dec 2005  1" xfId="1924"/>
    <cellStyle name="0_!!!GO_GTHK APIC 2004_V8TCWorkings to notes to 6-k June05" xfId="1925"/>
    <cellStyle name="0_!!!GO_GTHK APIC 2004_Workings to notes to 6-k FY2005-Consol-V3" xfId="1926"/>
    <cellStyle name="0_!!!GO_GTHK APIC 2004_Workings to notes to 6-k FY2005-Consol-V37" xfId="1927"/>
    <cellStyle name="0_!!!GO_GTHK APIC 2004_Workings to notes to 6-k FY2005-Consol-V8" xfId="1928"/>
    <cellStyle name="0_!!!GO_GTHK APIC 2004_Workings to notes to 6-k June05v1" xfId="1929"/>
    <cellStyle name="0_!!!GO_GTHK APIC 2004_Workings to notes to 6-k June05v2" xfId="1930"/>
    <cellStyle name="0_!!!GO_GTHK APIC 2004_Workings to notes to 6-k June05v3" xfId="1931"/>
    <cellStyle name="0_!!!GO_GTHK APIC 2004_Workings to notes to 6-k Mar05v13TC" xfId="1932"/>
    <cellStyle name="0_!!!GO_GTHK APIC 2004_Workings to notes to 6-k Mar05v17" xfId="1933"/>
    <cellStyle name="0_!!!GO_segment dec 2004 " xfId="1934"/>
    <cellStyle name="0_!!!GO_segment dec 2004 _Book1" xfId="1935"/>
    <cellStyle name="0_!!!GO_segment dec 2004 _Consolidation_2006_Summary (v2) (1)" xfId="1936"/>
    <cellStyle name="0_!!!GO_segment dec 2004 _Consolidation_2006_Summary (v3)" xfId="1937"/>
    <cellStyle name="0_!!!GO_segment dec 2004 _Consolidation_2006_Summary audit" xfId="1938"/>
    <cellStyle name="0_!!!GO_segment dec 2004 _Consolidation_2006_Summary auditBS &amp; PL" xfId="1939"/>
    <cellStyle name="0_!!!GO_segment dec 2004 _DeferredTaxLiabilitiesOnFixedAssets" xfId="1940"/>
    <cellStyle name="0_!!!GO_segment dec 2004 _Management accounts 2006(UPDATED)" xfId="1941"/>
    <cellStyle name="0_!!!GO_V1 Dec 2005  1" xfId="1942"/>
    <cellStyle name="0_!!!GO_V2Dec 2005  1" xfId="1943"/>
    <cellStyle name="0_!!!GO_V2DSep2005 " xfId="1944"/>
    <cellStyle name="0_!!!GO_V2ISep2005 " xfId="1945"/>
    <cellStyle name="0_!!!GO_V4Dec 2005  1" xfId="1946"/>
    <cellStyle name="0_!!!GO_Workings to notes to 6-k June05v1" xfId="1947"/>
    <cellStyle name="0_!!!GO_Workings to notes to 6-k June05v2" xfId="1948"/>
    <cellStyle name="0_!!!GO_Workings to notes to 6-k Mar05v4" xfId="1949"/>
    <cellStyle name="¼ýÀÚ(R)" xfId="1950"/>
    <cellStyle name="1" xfId="138"/>
    <cellStyle name="20% - Accent1 2" xfId="1951"/>
    <cellStyle name="20% - Accent2 2" xfId="1952"/>
    <cellStyle name="20% - Accent3 2" xfId="1953"/>
    <cellStyle name="20% - Accent4 2" xfId="1954"/>
    <cellStyle name="20% - Accent5 2" xfId="1955"/>
    <cellStyle name="20% - Accent6 2" xfId="1956"/>
    <cellStyle name="20% - 强调文字颜色 1" xfId="139"/>
    <cellStyle name="20% - 强调文字颜色 1 2" xfId="356"/>
    <cellStyle name="20% - 强调文字颜色 1 2 2" xfId="605"/>
    <cellStyle name="20% - 强调文字颜色 1 2 3" xfId="1957"/>
    <cellStyle name="20% - 强调文字颜色 1 3" xfId="419"/>
    <cellStyle name="20% - 强调文字颜色 2" xfId="140"/>
    <cellStyle name="20% - 强调文字颜色 2 2" xfId="357"/>
    <cellStyle name="20% - 强调文字颜色 2 2 2" xfId="606"/>
    <cellStyle name="20% - 强调文字颜色 2 2 3" xfId="1958"/>
    <cellStyle name="20% - 强调文字颜色 2 3" xfId="420"/>
    <cellStyle name="20% - 强调文字颜色 3" xfId="141"/>
    <cellStyle name="20% - 强调文字颜色 3 2" xfId="358"/>
    <cellStyle name="20% - 强调文字颜色 3 2 2" xfId="607"/>
    <cellStyle name="20% - 强调文字颜色 3 2 3" xfId="1959"/>
    <cellStyle name="20% - 强调文字颜色 3 3" xfId="421"/>
    <cellStyle name="20% - 强调文字颜色 4" xfId="142"/>
    <cellStyle name="20% - 强调文字颜色 4 2" xfId="359"/>
    <cellStyle name="20% - 强调文字颜色 4 2 2" xfId="608"/>
    <cellStyle name="20% - 强调文字颜色 4 2 3" xfId="1960"/>
    <cellStyle name="20% - 强调文字颜色 4 3" xfId="422"/>
    <cellStyle name="20% - 强调文字颜色 5" xfId="143"/>
    <cellStyle name="20% - 强调文字颜色 5 2" xfId="360"/>
    <cellStyle name="20% - 强调文字颜色 5 2 2" xfId="609"/>
    <cellStyle name="20% - 强调文字颜色 5 2 3" xfId="1961"/>
    <cellStyle name="20% - 强调文字颜色 5 3" xfId="423"/>
    <cellStyle name="20% - 强调文字颜色 6" xfId="144"/>
    <cellStyle name="20% - 强调文字颜色 6 2" xfId="361"/>
    <cellStyle name="20% - 强调文字颜色 6 2 2" xfId="610"/>
    <cellStyle name="20% - 强调文字颜色 6 2 3" xfId="1962"/>
    <cellStyle name="20% - 强调文字颜色 6 3" xfId="424"/>
    <cellStyle name="³¯Â¥" xfId="1963"/>
    <cellStyle name="³£¹æ_Book1" xfId="1964"/>
    <cellStyle name="³¬¼¶Á´½Ó" xfId="1965"/>
    <cellStyle name="3232" xfId="145"/>
    <cellStyle name="32B12" xfId="1966"/>
    <cellStyle name="3f1?0]_assumption(tj))" xfId="1967"/>
    <cellStyle name="3f1?assumption(tj)t" xfId="1968"/>
    <cellStyle name="3f1?p&amp;l(tj)i" xfId="1969"/>
    <cellStyle name="³f¹ô [0]_audit schedule" xfId="1970"/>
    <cellStyle name="³f¹ô[0]_pldt" xfId="1971"/>
    <cellStyle name="³f¹ô_audit schedule" xfId="1972"/>
    <cellStyle name="3L1a_assumption(tj)" xfId="1973"/>
    <cellStyle name="40% - Accent1 2" xfId="1974"/>
    <cellStyle name="40% - Accent2 2" xfId="1975"/>
    <cellStyle name="40% - Accent3 2" xfId="1976"/>
    <cellStyle name="40% - Accent4 2" xfId="1977"/>
    <cellStyle name="40% - Accent5 2" xfId="1978"/>
    <cellStyle name="40% - Accent6 2" xfId="1979"/>
    <cellStyle name="40% - 强调文字颜色 1" xfId="146"/>
    <cellStyle name="40% - 强调文字颜色 1 2" xfId="362"/>
    <cellStyle name="40% - 强调文字颜色 1 2 2" xfId="611"/>
    <cellStyle name="40% - 强调文字颜色 1 2 3" xfId="1980"/>
    <cellStyle name="40% - 强调文字颜色 1 3" xfId="425"/>
    <cellStyle name="40% - 强调文字颜色 2" xfId="147"/>
    <cellStyle name="40% - 强调文字颜色 2 2" xfId="363"/>
    <cellStyle name="40% - 强调文字颜色 2 2 2" xfId="612"/>
    <cellStyle name="40% - 强调文字颜色 2 2 3" xfId="1981"/>
    <cellStyle name="40% - 强调文字颜色 2 3" xfId="426"/>
    <cellStyle name="40% - 强调文字颜色 3" xfId="148"/>
    <cellStyle name="40% - 强调文字颜色 3 2" xfId="364"/>
    <cellStyle name="40% - 强调文字颜色 3 2 2" xfId="613"/>
    <cellStyle name="40% - 强调文字颜色 3 2 3" xfId="1982"/>
    <cellStyle name="40% - 强调文字颜色 3 3" xfId="427"/>
    <cellStyle name="40% - 强调文字颜色 4" xfId="149"/>
    <cellStyle name="40% - 强调文字颜色 4 2" xfId="365"/>
    <cellStyle name="40% - 强调文字颜色 4 2 2" xfId="614"/>
    <cellStyle name="40% - 强调文字颜色 4 2 3" xfId="1983"/>
    <cellStyle name="40% - 强调文字颜色 4 3" xfId="428"/>
    <cellStyle name="40% - 强调文字颜色 5" xfId="150"/>
    <cellStyle name="40% - 强调文字颜色 5 2" xfId="366"/>
    <cellStyle name="40% - 强调文字颜色 5 2 2" xfId="615"/>
    <cellStyle name="40% - 强调文字颜色 5 2 3" xfId="1984"/>
    <cellStyle name="40% - 强调文字颜色 5 3" xfId="429"/>
    <cellStyle name="40% - 强调文字颜色 6" xfId="151"/>
    <cellStyle name="40% - 强调文字颜色 6 2" xfId="367"/>
    <cellStyle name="40% - 强调文字颜色 6 2 2" xfId="616"/>
    <cellStyle name="40% - 强调文字颜色 6 2 3" xfId="1985"/>
    <cellStyle name="40% - 强调文字颜色 6 3" xfId="430"/>
    <cellStyle name="60% - Accent1 2" xfId="1986"/>
    <cellStyle name="60% - Accent2 2" xfId="1987"/>
    <cellStyle name="60% - Accent3 2" xfId="1988"/>
    <cellStyle name="60% - Accent4 2" xfId="1989"/>
    <cellStyle name="60% - Accent5 2" xfId="1990"/>
    <cellStyle name="60% - Accent6 2" xfId="1991"/>
    <cellStyle name="60% - 强调文字颜色 1" xfId="152"/>
    <cellStyle name="60% - 强调文字颜色 1 2" xfId="368"/>
    <cellStyle name="60% - 强调文字颜色 1 2 2" xfId="617"/>
    <cellStyle name="60% - 强调文字颜色 1 2 3" xfId="1992"/>
    <cellStyle name="60% - 强调文字颜色 1 3" xfId="431"/>
    <cellStyle name="60% - 强调文字颜色 2" xfId="153"/>
    <cellStyle name="60% - 强调文字颜色 2 2" xfId="369"/>
    <cellStyle name="60% - 强调文字颜色 2 2 2" xfId="618"/>
    <cellStyle name="60% - 强调文字颜色 2 2 3" xfId="1993"/>
    <cellStyle name="60% - 强调文字颜色 2 3" xfId="432"/>
    <cellStyle name="60% - 强调文字颜色 3" xfId="154"/>
    <cellStyle name="60% - 强调文字颜色 3 2" xfId="370"/>
    <cellStyle name="60% - 强调文字颜色 3 2 2" xfId="619"/>
    <cellStyle name="60% - 强调文字颜色 3 2 3" xfId="1994"/>
    <cellStyle name="60% - 强调文字颜色 3 3" xfId="433"/>
    <cellStyle name="60% - 强调文字颜色 4" xfId="155"/>
    <cellStyle name="60% - 强调文字颜色 4 2" xfId="371"/>
    <cellStyle name="60% - 强调文字颜色 4 2 2" xfId="620"/>
    <cellStyle name="60% - 强调文字颜色 4 2 3" xfId="1995"/>
    <cellStyle name="60% - 强调文字颜色 4 3" xfId="434"/>
    <cellStyle name="60% - 强调文字颜色 5" xfId="156"/>
    <cellStyle name="60% - 强调文字颜色 5 2" xfId="372"/>
    <cellStyle name="60% - 强调文字颜色 5 2 2" xfId="621"/>
    <cellStyle name="60% - 强调文字颜色 5 2 3" xfId="1996"/>
    <cellStyle name="60% - 强调文字颜色 5 3" xfId="435"/>
    <cellStyle name="60% - 强调文字颜色 6" xfId="157"/>
    <cellStyle name="60% - 强调文字颜色 6 2" xfId="373"/>
    <cellStyle name="60% - 强调文字颜色 6 2 2" xfId="622"/>
    <cellStyle name="60% - 强调文字颜色 6 2 3" xfId="1997"/>
    <cellStyle name="60% - 强调文字颜色 6 3" xfId="436"/>
    <cellStyle name="9" xfId="158"/>
    <cellStyle name="90" xfId="1998"/>
    <cellStyle name="99/12/31" xfId="159"/>
    <cellStyle name="Accent1 2" xfId="1999"/>
    <cellStyle name="Accent2 2" xfId="2000"/>
    <cellStyle name="Accent3 2" xfId="2001"/>
    <cellStyle name="Accent4 2" xfId="2002"/>
    <cellStyle name="Accent5 2" xfId="2003"/>
    <cellStyle name="Accent6 2" xfId="2004"/>
    <cellStyle name="add" xfId="2005"/>
    <cellStyle name="ÁÈµú»Õ_95" xfId="2006"/>
    <cellStyle name="ÅëÈ­ [0]_(type)ÃÑ°ý" xfId="2007"/>
    <cellStyle name="ÅëÈ­_(type)ÃÑ°ý" xfId="2008"/>
    <cellStyle name="ÆÛ¼¾Æ®" xfId="2009"/>
    <cellStyle name="ÀH«áªº¶W³sµ²" xfId="160"/>
    <cellStyle name="ÀH«áªº¶W³sµ² 2" xfId="2010"/>
    <cellStyle name="Ärenderubrik" xfId="2011"/>
    <cellStyle name="args.style" xfId="161"/>
    <cellStyle name="ÄÞ¸¶ [0]_(type)ÃÑ°ý" xfId="2012"/>
    <cellStyle name="ÄÞ¸¶_(type)ÃÑ°ý" xfId="2013"/>
    <cellStyle name="ÀÚ¸®¼ö" xfId="2014"/>
    <cellStyle name="ÀÚ¸®¼ö0" xfId="2015"/>
    <cellStyle name="Bad 2" xfId="2016"/>
    <cellStyle name="Besuchter Hyperlink" xfId="2017"/>
    <cellStyle name="Blankettnamn" xfId="2018"/>
    <cellStyle name="Blankettnamn 2" xfId="2823"/>
    <cellStyle name="Blankettnamn 2 2" xfId="3532"/>
    <cellStyle name="Blankettnamn 2 2 2" xfId="5002"/>
    <cellStyle name="Ç¥ÁØ_(type)ÃÑ°ý" xfId="2019"/>
    <cellStyle name="Ç§·ÖÎ»[0]_06" xfId="2020"/>
    <cellStyle name="Ç§·ÖÎ»_06" xfId="2021"/>
    <cellStyle name="Calc Currency (0)" xfId="162"/>
    <cellStyle name="Calc Currency (2)" xfId="163"/>
    <cellStyle name="Calc Percent (0)" xfId="164"/>
    <cellStyle name="Calc Percent (1)" xfId="165"/>
    <cellStyle name="Calc Percent (2)" xfId="166"/>
    <cellStyle name="Calc Units (0)" xfId="167"/>
    <cellStyle name="Calc Units (1)" xfId="168"/>
    <cellStyle name="Calc Units (2)" xfId="169"/>
    <cellStyle name="Calculation 2" xfId="2022"/>
    <cellStyle name="category" xfId="170"/>
    <cellStyle name="Check Cell 2" xfId="2023"/>
    <cellStyle name="ÇÕ»ê" xfId="2024"/>
    <cellStyle name="Col Heads" xfId="171"/>
    <cellStyle name="Col Heads 2" xfId="374"/>
    <cellStyle name="Col Heads 2 2" xfId="623"/>
    <cellStyle name="Col Heads 2 2 2" xfId="3450"/>
    <cellStyle name="Col Heads 2 2 3" xfId="3248"/>
    <cellStyle name="Col Heads 2 2 3 2" xfId="4722"/>
    <cellStyle name="Col Heads 3" xfId="2285"/>
    <cellStyle name="Col Heads 3 2" xfId="3554"/>
    <cellStyle name="Col Heads 3 3" xfId="3300"/>
    <cellStyle name="Col Heads 3 3 2" xfId="4774"/>
    <cellStyle name="Column_Title" xfId="172"/>
    <cellStyle name="Comma  - Style1" xfId="174"/>
    <cellStyle name="Comma  - Style2" xfId="175"/>
    <cellStyle name="Comma  - Style3" xfId="176"/>
    <cellStyle name="Comma  - Style4" xfId="177"/>
    <cellStyle name="Comma  - Style5" xfId="178"/>
    <cellStyle name="Comma  - Style6" xfId="179"/>
    <cellStyle name="Comma  - Style7" xfId="180"/>
    <cellStyle name="Comma  - Style8" xfId="181"/>
    <cellStyle name="Comma [00]" xfId="182"/>
    <cellStyle name="Comma [4]" xfId="183"/>
    <cellStyle name="Comma 11" xfId="184"/>
    <cellStyle name="Comma 11 2" xfId="438"/>
    <cellStyle name="Comma 11 2 2" xfId="665"/>
    <cellStyle name="Comma 11 2 2 2" xfId="2678"/>
    <cellStyle name="Comma 11 2 2 2 2" xfId="3468"/>
    <cellStyle name="Comma 11 2 2 2 2 2" xfId="4939"/>
    <cellStyle name="Comma 11 2 2 2 3" xfId="4174"/>
    <cellStyle name="Comma 11 2 2 3" xfId="3257"/>
    <cellStyle name="Comma 11 2 2 3 2" xfId="4731"/>
    <cellStyle name="Comma 11 2 2 4" xfId="3770"/>
    <cellStyle name="Comma 11 2 3" xfId="2575"/>
    <cellStyle name="Comma 11 2 3 2" xfId="3399"/>
    <cellStyle name="Comma 11 2 3 2 2" xfId="4873"/>
    <cellStyle name="Comma 11 2 3 3" xfId="4073"/>
    <cellStyle name="Comma 11 2 4" xfId="3217"/>
    <cellStyle name="Comma 11 2 4 2" xfId="4691"/>
    <cellStyle name="Comma 11 2 5" xfId="3709"/>
    <cellStyle name="Comma 11 3" xfId="587"/>
    <cellStyle name="Comma 11 3 2" xfId="2396"/>
    <cellStyle name="Comma 11 3 2 2" xfId="2990"/>
    <cellStyle name="Comma 11 3 2 2 2" xfId="3627"/>
    <cellStyle name="Comma 11 3 2 2 2 2" xfId="5089"/>
    <cellStyle name="Comma 11 3 2 2 3" xfId="4468"/>
    <cellStyle name="Comma 11 3 2 3" xfId="3334"/>
    <cellStyle name="Comma 11 3 2 3 2" xfId="4808"/>
    <cellStyle name="Comma 11 3 2 4" xfId="3902"/>
    <cellStyle name="Comma 11 3 3" xfId="2639"/>
    <cellStyle name="Comma 11 3 3 2" xfId="3436"/>
    <cellStyle name="Comma 11 3 3 2 2" xfId="4909"/>
    <cellStyle name="Comma 11 3 3 3" xfId="4136"/>
    <cellStyle name="Comma 11 3 4" xfId="3242"/>
    <cellStyle name="Comma 11 3 4 2" xfId="4716"/>
    <cellStyle name="Comma 11 3 5" xfId="3743"/>
    <cellStyle name="Comma 11 4" xfId="707"/>
    <cellStyle name="Comma 11 4 2" xfId="2718"/>
    <cellStyle name="Comma 11 4 2 2" xfId="3505"/>
    <cellStyle name="Comma 11 4 2 2 2" xfId="4975"/>
    <cellStyle name="Comma 11 4 2 3" xfId="4209"/>
    <cellStyle name="Comma 11 4 3" xfId="3279"/>
    <cellStyle name="Comma 11 4 3 2" xfId="4753"/>
    <cellStyle name="Comma 11 4 4" xfId="3801"/>
    <cellStyle name="Comma 11 5" xfId="2494"/>
    <cellStyle name="Comma 11 5 2" xfId="3364"/>
    <cellStyle name="Comma 11 5 2 2" xfId="4838"/>
    <cellStyle name="Comma 11 5 3" xfId="3992"/>
    <cellStyle name="Comma 11 6" xfId="3193"/>
    <cellStyle name="Comma 11 6 2" xfId="4667"/>
    <cellStyle name="Comma 11 7" xfId="3680"/>
    <cellStyle name="Comma 2" xfId="185"/>
    <cellStyle name="Comma 2 2" xfId="504"/>
    <cellStyle name="Comma 2 2 2" xfId="569"/>
    <cellStyle name="Comma 2 2 2 2" xfId="699"/>
    <cellStyle name="Comma 2 2 2 2 2" xfId="2710"/>
    <cellStyle name="Comma 2 2 2 2 2 2" xfId="3497"/>
    <cellStyle name="Comma 2 2 2 2 2 2 2" xfId="4967"/>
    <cellStyle name="Comma 2 2 2 2 2 3" xfId="4201"/>
    <cellStyle name="Comma 2 2 2 2 3" xfId="3273"/>
    <cellStyle name="Comma 2 2 2 2 3 2" xfId="4747"/>
    <cellStyle name="Comma 2 2 2 2 4" xfId="3793"/>
    <cellStyle name="Comma 2 2 2 3" xfId="2626"/>
    <cellStyle name="Comma 2 2 2 3 2" xfId="3425"/>
    <cellStyle name="Comma 2 2 2 3 2 2" xfId="4898"/>
    <cellStyle name="Comma 2 2 2 3 3" xfId="4123"/>
    <cellStyle name="Comma 2 2 2 4" xfId="3234"/>
    <cellStyle name="Comma 2 2 2 4 2" xfId="4708"/>
    <cellStyle name="Comma 2 2 2 5" xfId="3733"/>
    <cellStyle name="Comma 2 2 3" xfId="2329"/>
    <cellStyle name="Comma 2 2 4" xfId="2026"/>
    <cellStyle name="Comma 2 2 5" xfId="2450"/>
    <cellStyle name="Comma 2 2 5 2" xfId="3038"/>
    <cellStyle name="Comma 2 2 5 2 2" xfId="3672"/>
    <cellStyle name="Comma 2 2 5 2 2 2" xfId="5132"/>
    <cellStyle name="Comma 2 2 5 2 3" xfId="4512"/>
    <cellStyle name="Comma 2 2 5 3" xfId="3361"/>
    <cellStyle name="Comma 2 2 5 3 2" xfId="4835"/>
    <cellStyle name="Comma 2 2 5 4" xfId="3937"/>
    <cellStyle name="Comma 2 3" xfId="439"/>
    <cellStyle name="Comma 2 3 2" xfId="666"/>
    <cellStyle name="Comma 2 3 2 2" xfId="2420"/>
    <cellStyle name="Comma 2 3 2 2 2" xfId="3013"/>
    <cellStyle name="Comma 2 3 2 2 2 2" xfId="3648"/>
    <cellStyle name="Comma 2 3 2 2 2 2 2" xfId="5109"/>
    <cellStyle name="Comma 2 3 2 2 2 3" xfId="4489"/>
    <cellStyle name="Comma 2 3 2 2 3" xfId="3347"/>
    <cellStyle name="Comma 2 3 2 2 3 2" xfId="4821"/>
    <cellStyle name="Comma 2 3 2 2 4" xfId="3919"/>
    <cellStyle name="Comma 2 3 2 3" xfId="2679"/>
    <cellStyle name="Comma 2 3 2 3 2" xfId="3469"/>
    <cellStyle name="Comma 2 3 2 3 2 2" xfId="4940"/>
    <cellStyle name="Comma 2 3 2 3 3" xfId="4175"/>
    <cellStyle name="Comma 2 3 2 4" xfId="3258"/>
    <cellStyle name="Comma 2 3 2 4 2" xfId="4732"/>
    <cellStyle name="Comma 2 3 2 5" xfId="3771"/>
    <cellStyle name="Comma 2 3 3" xfId="2025"/>
    <cellStyle name="Comma 2 3 4" xfId="2576"/>
    <cellStyle name="Comma 2 3 4 2" xfId="3400"/>
    <cellStyle name="Comma 2 3 4 2 2" xfId="4874"/>
    <cellStyle name="Comma 2 3 4 3" xfId="4074"/>
    <cellStyle name="Comma 2 3 5" xfId="3218"/>
    <cellStyle name="Comma 2 3 5 2" xfId="4692"/>
    <cellStyle name="Comma 2 3 6" xfId="3710"/>
    <cellStyle name="Comma 2 4" xfId="588"/>
    <cellStyle name="Comma 2 4 2" xfId="2397"/>
    <cellStyle name="Comma 2 4 2 2" xfId="2991"/>
    <cellStyle name="Comma 2 4 2 2 2" xfId="3628"/>
    <cellStyle name="Comma 2 4 2 2 2 2" xfId="5090"/>
    <cellStyle name="Comma 2 4 2 2 3" xfId="4469"/>
    <cellStyle name="Comma 2 4 2 3" xfId="3335"/>
    <cellStyle name="Comma 2 4 2 3 2" xfId="4809"/>
    <cellStyle name="Comma 2 4 2 4" xfId="3903"/>
    <cellStyle name="Comma 2 4 3" xfId="2640"/>
    <cellStyle name="Comma 2 4 3 2" xfId="3437"/>
    <cellStyle name="Comma 2 4 3 2 2" xfId="4910"/>
    <cellStyle name="Comma 2 4 3 3" xfId="4137"/>
    <cellStyle name="Comma 2 4 4" xfId="3243"/>
    <cellStyle name="Comma 2 4 4 2" xfId="4717"/>
    <cellStyle name="Comma 2 4 5" xfId="3744"/>
    <cellStyle name="Comma 2 5" xfId="2444"/>
    <cellStyle name="Comma 2 5 2" xfId="3034"/>
    <cellStyle name="Comma 2 5 2 2" xfId="3668"/>
    <cellStyle name="Comma 2 5 2 2 2" xfId="5128"/>
    <cellStyle name="Comma 2 5 2 3" xfId="4508"/>
    <cellStyle name="Comma 2 5 3" xfId="3357"/>
    <cellStyle name="Comma 2 5 3 2" xfId="4831"/>
    <cellStyle name="Comma 2 5 4" xfId="3933"/>
    <cellStyle name="Comma 2 6" xfId="2495"/>
    <cellStyle name="Comma 2 6 2" xfId="3365"/>
    <cellStyle name="Comma 2 6 2 2" xfId="4839"/>
    <cellStyle name="Comma 2 6 3" xfId="3993"/>
    <cellStyle name="Comma 2 7" xfId="3194"/>
    <cellStyle name="Comma 2 7 2" xfId="4668"/>
    <cellStyle name="Comma 2 8" xfId="3681"/>
    <cellStyle name="Comma 3" xfId="186"/>
    <cellStyle name="Comma 3 2" xfId="505"/>
    <cellStyle name="Comma 3 2 2" xfId="2330"/>
    <cellStyle name="Comma 3 2 3" xfId="2028"/>
    <cellStyle name="Comma 3 3" xfId="440"/>
    <cellStyle name="Comma 3 3 2" xfId="667"/>
    <cellStyle name="Comma 3 3 2 2" xfId="2421"/>
    <cellStyle name="Comma 3 3 2 2 2" xfId="3014"/>
    <cellStyle name="Comma 3 3 2 2 2 2" xfId="3649"/>
    <cellStyle name="Comma 3 3 2 2 2 2 2" xfId="5110"/>
    <cellStyle name="Comma 3 3 2 2 2 3" xfId="4490"/>
    <cellStyle name="Comma 3 3 2 2 3" xfId="3348"/>
    <cellStyle name="Comma 3 3 2 2 3 2" xfId="4822"/>
    <cellStyle name="Comma 3 3 2 2 4" xfId="3920"/>
    <cellStyle name="Comma 3 3 2 3" xfId="2680"/>
    <cellStyle name="Comma 3 3 2 3 2" xfId="3470"/>
    <cellStyle name="Comma 3 3 2 3 2 2" xfId="4941"/>
    <cellStyle name="Comma 3 3 2 3 3" xfId="4176"/>
    <cellStyle name="Comma 3 3 2 4" xfId="3259"/>
    <cellStyle name="Comma 3 3 2 4 2" xfId="4733"/>
    <cellStyle name="Comma 3 3 2 5" xfId="3772"/>
    <cellStyle name="Comma 3 3 3" xfId="2027"/>
    <cellStyle name="Comma 3 3 4" xfId="2577"/>
    <cellStyle name="Comma 3 3 4 2" xfId="3401"/>
    <cellStyle name="Comma 3 3 4 2 2" xfId="4875"/>
    <cellStyle name="Comma 3 3 4 3" xfId="4075"/>
    <cellStyle name="Comma 3 3 5" xfId="3219"/>
    <cellStyle name="Comma 3 3 5 2" xfId="4693"/>
    <cellStyle name="Comma 3 3 6" xfId="3711"/>
    <cellStyle name="Comma 3 4" xfId="589"/>
    <cellStyle name="Comma 3 4 2" xfId="2398"/>
    <cellStyle name="Comma 3 4 2 2" xfId="2992"/>
    <cellStyle name="Comma 3 4 2 2 2" xfId="3629"/>
    <cellStyle name="Comma 3 4 2 2 2 2" xfId="5091"/>
    <cellStyle name="Comma 3 4 2 2 3" xfId="4470"/>
    <cellStyle name="Comma 3 4 2 3" xfId="3336"/>
    <cellStyle name="Comma 3 4 2 3 2" xfId="4810"/>
    <cellStyle name="Comma 3 4 2 4" xfId="3904"/>
    <cellStyle name="Comma 3 4 3" xfId="2641"/>
    <cellStyle name="Comma 3 4 3 2" xfId="3438"/>
    <cellStyle name="Comma 3 4 3 2 2" xfId="4911"/>
    <cellStyle name="Comma 3 4 3 3" xfId="4138"/>
    <cellStyle name="Comma 3 4 4" xfId="3244"/>
    <cellStyle name="Comma 3 4 4 2" xfId="4718"/>
    <cellStyle name="Comma 3 4 5" xfId="3745"/>
    <cellStyle name="Comma 3 5" xfId="2496"/>
    <cellStyle name="Comma 3 5 2" xfId="3366"/>
    <cellStyle name="Comma 3 5 2 2" xfId="4840"/>
    <cellStyle name="Comma 3 5 3" xfId="3994"/>
    <cellStyle name="Comma 3 6" xfId="3195"/>
    <cellStyle name="Comma 3 6 2" xfId="4669"/>
    <cellStyle name="Comma 3 7" xfId="3682"/>
    <cellStyle name="Comma 4" xfId="732"/>
    <cellStyle name="Comma 5" xfId="731"/>
    <cellStyle name="Comma 5 2" xfId="2735"/>
    <cellStyle name="Comma 5 2 2" xfId="3518"/>
    <cellStyle name="Comma 5 2 2 2" xfId="4988"/>
    <cellStyle name="Comma 5 2 3" xfId="4225"/>
    <cellStyle name="Comma 5 3" xfId="3285"/>
    <cellStyle name="Comma 5 3 2" xfId="4759"/>
    <cellStyle name="Comma 5 4" xfId="3813"/>
    <cellStyle name="Comma 6" xfId="173"/>
    <cellStyle name="Comma 7" xfId="5137"/>
    <cellStyle name="comma zerodec" xfId="187"/>
    <cellStyle name="Comma,0" xfId="188"/>
    <cellStyle name="Comma,1" xfId="189"/>
    <cellStyle name="Comma,2" xfId="190"/>
    <cellStyle name="Comma0" xfId="191"/>
    <cellStyle name="Comma0 2" xfId="2029"/>
    <cellStyle name="comma-d" xfId="192"/>
    <cellStyle name="COMPS" xfId="2030"/>
    <cellStyle name="COMPS 2" xfId="2370"/>
    <cellStyle name="COMPS 2 2" xfId="2966"/>
    <cellStyle name="COMPS 2 2 2" xfId="3602"/>
    <cellStyle name="COMPS 2 2 2 2" xfId="5069"/>
    <cellStyle name="COMPS 2 2 2 2 2" xfId="6817"/>
    <cellStyle name="COMPS 2 2 2 3" xfId="6027"/>
    <cellStyle name="COMPS 2 2 3" xfId="4446"/>
    <cellStyle name="COMPS 2 2 3 2" xfId="6513"/>
    <cellStyle name="COMPS 2 2 4" xfId="5679"/>
    <cellStyle name="COMPS 2 3" xfId="2545"/>
    <cellStyle name="COMPS 2 3 2" xfId="4043"/>
    <cellStyle name="COMPS 2 3 2 2" xfId="6238"/>
    <cellStyle name="COMPS 2 3 3" xfId="5369"/>
    <cellStyle name="COMPS 2 4" xfId="2657"/>
    <cellStyle name="COMPS 2 4 2" xfId="4154"/>
    <cellStyle name="COMPS 2 4 2 2" xfId="6307"/>
    <cellStyle name="COMPS 2 4 3" xfId="5443"/>
    <cellStyle name="COMPS 2 5" xfId="3885"/>
    <cellStyle name="COMPS 2 5 2" xfId="6146"/>
    <cellStyle name="COMPS 2 6" xfId="5258"/>
    <cellStyle name="COMPS 3" xfId="2826"/>
    <cellStyle name="COMPS 3 2" xfId="3533"/>
    <cellStyle name="COMPS 3 2 2" xfId="5003"/>
    <cellStyle name="COMPS 3 2 2 2" xfId="6781"/>
    <cellStyle name="COMPS 3 2 3" xfId="5982"/>
    <cellStyle name="COMPS 3 3" xfId="4315"/>
    <cellStyle name="COMPS 3 3 2" xfId="6421"/>
    <cellStyle name="COMPS 3 4" xfId="5568"/>
    <cellStyle name="COMPS 4" xfId="2904"/>
    <cellStyle name="COMPS 4 2" xfId="4390"/>
    <cellStyle name="COMPS 4 2 2" xfId="6476"/>
    <cellStyle name="COMPS 4 3" xfId="5629"/>
    <cellStyle name="COMPS 5" xfId="2762"/>
    <cellStyle name="COMPS 5 2" xfId="4252"/>
    <cellStyle name="COMPS 5 2 2" xfId="6364"/>
    <cellStyle name="COMPS 5 3" xfId="5509"/>
    <cellStyle name="COMPS 6" xfId="3827"/>
    <cellStyle name="COMPS 6 2" xfId="6118"/>
    <cellStyle name="COMPS 7" xfId="5217"/>
    <cellStyle name="Copied" xfId="193"/>
    <cellStyle name="Credit" xfId="194"/>
    <cellStyle name="Curren - Style2" xfId="195"/>
    <cellStyle name="Currency [00]" xfId="196"/>
    <cellStyle name="Currency 2" xfId="723"/>
    <cellStyle name="Currency 2 2" xfId="2031"/>
    <cellStyle name="Currency 2 3" xfId="2731"/>
    <cellStyle name="Currency 2 3 2" xfId="3516"/>
    <cellStyle name="Currency 2 3 2 2" xfId="4986"/>
    <cellStyle name="Currency 2 3 3" xfId="4221"/>
    <cellStyle name="Currency 2 4" xfId="3283"/>
    <cellStyle name="Currency 2 4 2" xfId="4757"/>
    <cellStyle name="Currency 2 5" xfId="3811"/>
    <cellStyle name="Currency 3" xfId="704"/>
    <cellStyle name="Currency 4" xfId="5197"/>
    <cellStyle name="Currency,0" xfId="197"/>
    <cellStyle name="Currency,0 2" xfId="441"/>
    <cellStyle name="Currency,0 2 2" xfId="668"/>
    <cellStyle name="Currency,0 2 2 2" xfId="2422"/>
    <cellStyle name="Currency,0 2 2 3" xfId="2681"/>
    <cellStyle name="Currency,0 2 2 3 2" xfId="3471"/>
    <cellStyle name="Currency,0 2 2 3 2 2" xfId="4942"/>
    <cellStyle name="Currency,0 2 2 3 3" xfId="4177"/>
    <cellStyle name="Currency,0 2 2 4" xfId="3260"/>
    <cellStyle name="Currency,0 2 2 4 2" xfId="4734"/>
    <cellStyle name="Currency,0 2 2 5" xfId="3773"/>
    <cellStyle name="Currency,0 2 3" xfId="2312"/>
    <cellStyle name="Currency,0 2 4" xfId="2578"/>
    <cellStyle name="Currency,0 2 4 2" xfId="3402"/>
    <cellStyle name="Currency,0 2 4 2 2" xfId="4876"/>
    <cellStyle name="Currency,0 2 4 3" xfId="4076"/>
    <cellStyle name="Currency,0 2 5" xfId="3220"/>
    <cellStyle name="Currency,0 2 5 2" xfId="4694"/>
    <cellStyle name="Currency,0 2 6" xfId="3712"/>
    <cellStyle name="Currency,0 3" xfId="2287"/>
    <cellStyle name="Currency,0 3 2" xfId="2399"/>
    <cellStyle name="Currency,0 4" xfId="741"/>
    <cellStyle name="Currency,2" xfId="198"/>
    <cellStyle name="Currency,2 2" xfId="442"/>
    <cellStyle name="Currency,2 2 2" xfId="669"/>
    <cellStyle name="Currency,2 2 2 2" xfId="2423"/>
    <cellStyle name="Currency,2 2 2 3" xfId="2682"/>
    <cellStyle name="Currency,2 2 2 3 2" xfId="3472"/>
    <cellStyle name="Currency,2 2 2 3 2 2" xfId="4943"/>
    <cellStyle name="Currency,2 2 2 3 3" xfId="4178"/>
    <cellStyle name="Currency,2 2 2 4" xfId="3261"/>
    <cellStyle name="Currency,2 2 2 4 2" xfId="4735"/>
    <cellStyle name="Currency,2 2 2 5" xfId="3774"/>
    <cellStyle name="Currency,2 2 3" xfId="2313"/>
    <cellStyle name="Currency,2 2 4" xfId="2579"/>
    <cellStyle name="Currency,2 2 4 2" xfId="3403"/>
    <cellStyle name="Currency,2 2 4 2 2" xfId="4877"/>
    <cellStyle name="Currency,2 2 4 3" xfId="4077"/>
    <cellStyle name="Currency,2 2 5" xfId="3221"/>
    <cellStyle name="Currency,2 2 5 2" xfId="4695"/>
    <cellStyle name="Currency,2 2 6" xfId="3713"/>
    <cellStyle name="Currency,2 3" xfId="2288"/>
    <cellStyle name="Currency,2 3 2" xfId="2400"/>
    <cellStyle name="Currency,2 4" xfId="742"/>
    <cellStyle name="Currency0" xfId="199"/>
    <cellStyle name="Currency0 2" xfId="2032"/>
    <cellStyle name="Currency1" xfId="200"/>
    <cellStyle name="DATA_ENT" xfId="2033"/>
    <cellStyle name="Date" xfId="201"/>
    <cellStyle name="Date 2" xfId="2034"/>
    <cellStyle name="Date Short" xfId="202"/>
    <cellStyle name="Date_capinves" xfId="203"/>
    <cellStyle name="Datum" xfId="2035"/>
    <cellStyle name="Debit" xfId="204"/>
    <cellStyle name="Dezimal [0]_AB_20neu" xfId="2036"/>
    <cellStyle name="Dezimal_AB_20neu" xfId="2037"/>
    <cellStyle name="Dollar (zero dec)" xfId="205"/>
    <cellStyle name="DOWNFOOT" xfId="2038"/>
    <cellStyle name="DOWNFOOT 2" xfId="2371"/>
    <cellStyle name="DOWNFOOT 2 2" xfId="2967"/>
    <cellStyle name="DOWNFOOT 2 2 2" xfId="3603"/>
    <cellStyle name="DOWNFOOT 2 2 2 2" xfId="5070"/>
    <cellStyle name="DOWNFOOT 2 2 2 2 2" xfId="6818"/>
    <cellStyle name="DOWNFOOT 2 2 2 3" xfId="6028"/>
    <cellStyle name="DOWNFOOT 2 2 3" xfId="4447"/>
    <cellStyle name="DOWNFOOT 2 2 3 2" xfId="6514"/>
    <cellStyle name="DOWNFOOT 2 2 4" xfId="5680"/>
    <cellStyle name="DOWNFOOT 2 3" xfId="2926"/>
    <cellStyle name="DOWNFOOT 2 3 2" xfId="4411"/>
    <cellStyle name="DOWNFOOT 2 3 2 2" xfId="6488"/>
    <cellStyle name="DOWNFOOT 2 3 3" xfId="5647"/>
    <cellStyle name="DOWNFOOT 2 4" xfId="2478"/>
    <cellStyle name="DOWNFOOT 2 4 2" xfId="3976"/>
    <cellStyle name="DOWNFOOT 2 4 2 2" xfId="6184"/>
    <cellStyle name="DOWNFOOT 2 4 3" xfId="5313"/>
    <cellStyle name="DOWNFOOT 2 5" xfId="3886"/>
    <cellStyle name="DOWNFOOT 2 5 2" xfId="6147"/>
    <cellStyle name="DOWNFOOT 2 6" xfId="5259"/>
    <cellStyle name="DOWNFOOT 3" xfId="2828"/>
    <cellStyle name="DOWNFOOT 3 2" xfId="3534"/>
    <cellStyle name="DOWNFOOT 3 2 2" xfId="5004"/>
    <cellStyle name="DOWNFOOT 3 2 2 2" xfId="6782"/>
    <cellStyle name="DOWNFOOT 3 2 3" xfId="5983"/>
    <cellStyle name="DOWNFOOT 3 3" xfId="4317"/>
    <cellStyle name="DOWNFOOT 3 3 2" xfId="6423"/>
    <cellStyle name="DOWNFOOT 3 4" xfId="5570"/>
    <cellStyle name="DOWNFOOT 4" xfId="2756"/>
    <cellStyle name="DOWNFOOT 4 2" xfId="4246"/>
    <cellStyle name="DOWNFOOT 4 2 2" xfId="6358"/>
    <cellStyle name="DOWNFOOT 4 3" xfId="5503"/>
    <cellStyle name="DOWNFOOT 5" xfId="2761"/>
    <cellStyle name="DOWNFOOT 5 2" xfId="4251"/>
    <cellStyle name="DOWNFOOT 5 2 2" xfId="6363"/>
    <cellStyle name="DOWNFOOT 5 3" xfId="5508"/>
    <cellStyle name="DOWNFOOT 6" xfId="3828"/>
    <cellStyle name="DOWNFOOT 6 2" xfId="6119"/>
    <cellStyle name="DOWNFOOT 7" xfId="5218"/>
    <cellStyle name="E&amp;Y House" xfId="2039"/>
    <cellStyle name="È­Æó±âÈ£" xfId="2040"/>
    <cellStyle name="È­Æó±âÈ£0" xfId="2041"/>
    <cellStyle name="Enter Currency (0)" xfId="206"/>
    <cellStyle name="Enter Currency (2)" xfId="207"/>
    <cellStyle name="Enter Units (0)" xfId="208"/>
    <cellStyle name="Enter Units (1)" xfId="209"/>
    <cellStyle name="Enter Units (2)" xfId="210"/>
    <cellStyle name="Entered" xfId="211"/>
    <cellStyle name="entry" xfId="212"/>
    <cellStyle name="entry box" xfId="213"/>
    <cellStyle name="entry box 2" xfId="375"/>
    <cellStyle name="entry box 2 2" xfId="624"/>
    <cellStyle name="entry box 2 2 2" xfId="2658"/>
    <cellStyle name="entry box 2 2 2 2" xfId="3451"/>
    <cellStyle name="entry box 2 2 2 2 2" xfId="4923"/>
    <cellStyle name="entry box 2 2 2 2 2 2" xfId="6744"/>
    <cellStyle name="entry box 2 2 2 2 3" xfId="5937"/>
    <cellStyle name="entry box 2 2 2 3" xfId="4155"/>
    <cellStyle name="entry box 2 2 2 3 2" xfId="6308"/>
    <cellStyle name="entry box 2 2 2 4" xfId="5444"/>
    <cellStyle name="entry box 2 2 3" xfId="3122"/>
    <cellStyle name="entry box 2 2 3 2" xfId="4596"/>
    <cellStyle name="entry box 2 2 3 2 2" xfId="6617"/>
    <cellStyle name="entry box 2 2 3 3" xfId="5798"/>
    <cellStyle name="entry box 2 2 4" xfId="2852"/>
    <cellStyle name="entry box 2 2 4 2" xfId="4341"/>
    <cellStyle name="entry box 2 2 4 2 2" xfId="6446"/>
    <cellStyle name="entry box 2 2 4 3" xfId="5593"/>
    <cellStyle name="entry box 2 2 5" xfId="3756"/>
    <cellStyle name="entry box 2 2 5 2" xfId="6088"/>
    <cellStyle name="entry box 2 2 6" xfId="5169"/>
    <cellStyle name="entry box 2 3" xfId="2300"/>
    <cellStyle name="entry box 2 3 2" xfId="2913"/>
    <cellStyle name="entry box 2 3 2 2" xfId="3562"/>
    <cellStyle name="entry box 2 3 2 2 2" xfId="5030"/>
    <cellStyle name="entry box 2 3 2 2 2 2" xfId="6793"/>
    <cellStyle name="entry box 2 3 2 2 3" xfId="5998"/>
    <cellStyle name="entry box 2 3 2 3" xfId="4399"/>
    <cellStyle name="entry box 2 3 2 3 2" xfId="6481"/>
    <cellStyle name="entry box 2 3 2 4" xfId="5637"/>
    <cellStyle name="entry box 2 3 3" xfId="3049"/>
    <cellStyle name="entry box 2 3 3 2" xfId="4523"/>
    <cellStyle name="entry box 2 3 3 2 2" xfId="6551"/>
    <cellStyle name="entry box 2 3 3 3" xfId="5727"/>
    <cellStyle name="entry box 2 3 4" xfId="2730"/>
    <cellStyle name="entry box 2 3 4 2" xfId="4220"/>
    <cellStyle name="entry box 2 3 4 2 2" xfId="6341"/>
    <cellStyle name="entry box 2 3 4 3" xfId="5484"/>
    <cellStyle name="entry box 2 3 5" xfId="3850"/>
    <cellStyle name="entry box 2 3 5 2" xfId="6127"/>
    <cellStyle name="entry box 2 3 6" xfId="5232"/>
    <cellStyle name="entry box 2 4" xfId="2549"/>
    <cellStyle name="entry box 2 4 2" xfId="3381"/>
    <cellStyle name="entry box 2 4 2 2" xfId="4855"/>
    <cellStyle name="entry box 2 4 2 2 2" xfId="6713"/>
    <cellStyle name="entry box 2 4 2 3" xfId="5901"/>
    <cellStyle name="entry box 2 4 3" xfId="4047"/>
    <cellStyle name="entry box 2 4 3 2" xfId="6242"/>
    <cellStyle name="entry box 2 4 4" xfId="5373"/>
    <cellStyle name="entry box 2 5" xfId="2860"/>
    <cellStyle name="entry box 2 5 2" xfId="4349"/>
    <cellStyle name="entry box 2 5 2 2" xfId="6453"/>
    <cellStyle name="entry box 2 5 3" xfId="5600"/>
    <cellStyle name="entry box 2 6" xfId="2592"/>
    <cellStyle name="entry box 2 6 2" xfId="4090"/>
    <cellStyle name="entry box 2 6 2 2" xfId="6266"/>
    <cellStyle name="entry box 2 6 3" xfId="5399"/>
    <cellStyle name="entry box 2 7" xfId="3204"/>
    <cellStyle name="entry box 2 7 2" xfId="4678"/>
    <cellStyle name="entry box 2 7 2 2" xfId="6679"/>
    <cellStyle name="entry box 2 7 3" xfId="5864"/>
    <cellStyle name="entry box 2 8" xfId="3695"/>
    <cellStyle name="entry box 2 8 2" xfId="6063"/>
    <cellStyle name="entry box 3" xfId="550"/>
    <cellStyle name="entry box 3 2" xfId="691"/>
    <cellStyle name="entry box 3 2 2" xfId="2433"/>
    <cellStyle name="entry box 3 2 2 2" xfId="3025"/>
    <cellStyle name="entry box 3 2 2 2 2" xfId="3659"/>
    <cellStyle name="entry box 3 2 2 2 2 2" xfId="5120"/>
    <cellStyle name="entry box 3 2 2 2 2 2 2" xfId="6836"/>
    <cellStyle name="entry box 3 2 2 2 2 3" xfId="6052"/>
    <cellStyle name="entry box 3 2 2 2 3" xfId="4501"/>
    <cellStyle name="entry box 3 2 2 2 3 2" xfId="6536"/>
    <cellStyle name="entry box 3 2 2 2 4" xfId="5710"/>
    <cellStyle name="entry box 3 2 2 3" xfId="3155"/>
    <cellStyle name="entry box 3 2 2 3 2" xfId="4629"/>
    <cellStyle name="entry box 3 2 2 3 2 2" xfId="6640"/>
    <cellStyle name="entry box 3 2 2 3 3" xfId="5825"/>
    <cellStyle name="entry box 3 2 2 4" xfId="3161"/>
    <cellStyle name="entry box 3 2 2 4 2" xfId="4635"/>
    <cellStyle name="entry box 3 2 2 4 2 2" xfId="6646"/>
    <cellStyle name="entry box 3 2 2 4 3" xfId="5831"/>
    <cellStyle name="entry box 3 2 2 5" xfId="3929"/>
    <cellStyle name="entry box 3 2 2 5 2" xfId="6158"/>
    <cellStyle name="entry box 3 2 2 6" xfId="5283"/>
    <cellStyle name="entry box 3 2 3" xfId="2702"/>
    <cellStyle name="entry box 3 2 3 2" xfId="3489"/>
    <cellStyle name="entry box 3 2 3 2 2" xfId="4959"/>
    <cellStyle name="entry box 3 2 3 2 2 2" xfId="6758"/>
    <cellStyle name="entry box 3 2 3 2 3" xfId="5955"/>
    <cellStyle name="entry box 3 2 3 3" xfId="4193"/>
    <cellStyle name="entry box 3 2 3 3 2" xfId="6326"/>
    <cellStyle name="entry box 3 2 3 4" xfId="5466"/>
    <cellStyle name="entry box 3 2 4" xfId="2807"/>
    <cellStyle name="entry box 3 2 4 2" xfId="4297"/>
    <cellStyle name="entry box 3 2 4 2 2" xfId="6406"/>
    <cellStyle name="entry box 3 2 4 3" xfId="5551"/>
    <cellStyle name="entry box 3 2 5" xfId="2460"/>
    <cellStyle name="entry box 3 2 5 2" xfId="3958"/>
    <cellStyle name="entry box 3 2 5 2 2" xfId="6168"/>
    <cellStyle name="entry box 3 2 5 3" xfId="5297"/>
    <cellStyle name="entry box 3 2 6" xfId="3787"/>
    <cellStyle name="entry box 3 2 6 2" xfId="6098"/>
    <cellStyle name="entry box 3 2 7" xfId="5190"/>
    <cellStyle name="entry box 3 3" xfId="2343"/>
    <cellStyle name="entry box 3 3 2" xfId="2940"/>
    <cellStyle name="entry box 3 3 2 2" xfId="3582"/>
    <cellStyle name="entry box 3 3 2 2 2" xfId="5050"/>
    <cellStyle name="entry box 3 3 2 2 2 2" xfId="6805"/>
    <cellStyle name="entry box 3 3 2 2 3" xfId="6012"/>
    <cellStyle name="entry box 3 3 2 3" xfId="4424"/>
    <cellStyle name="entry box 3 3 2 3 2" xfId="6498"/>
    <cellStyle name="entry box 3 3 2 4" xfId="5658"/>
    <cellStyle name="entry box 3 3 3" xfId="2655"/>
    <cellStyle name="entry box 3 3 3 2" xfId="4152"/>
    <cellStyle name="entry box 3 3 3 2 2" xfId="6305"/>
    <cellStyle name="entry box 3 3 3 3" xfId="5441"/>
    <cellStyle name="entry box 3 3 4" xfId="2830"/>
    <cellStyle name="entry box 3 3 4 2" xfId="4319"/>
    <cellStyle name="entry box 3 3 4 2 2" xfId="6425"/>
    <cellStyle name="entry box 3 3 4 3" xfId="5572"/>
    <cellStyle name="entry box 3 3 5" xfId="3869"/>
    <cellStyle name="entry box 3 3 5 2" xfId="6137"/>
    <cellStyle name="entry box 3 3 6" xfId="5244"/>
    <cellStyle name="entry box 3 4" xfId="2615"/>
    <cellStyle name="entry box 3 4 2" xfId="3418"/>
    <cellStyle name="entry box 3 4 2 2" xfId="4892"/>
    <cellStyle name="entry box 3 4 2 2 2" xfId="6729"/>
    <cellStyle name="entry box 3 4 2 3" xfId="5919"/>
    <cellStyle name="entry box 3 4 3" xfId="4113"/>
    <cellStyle name="entry box 3 4 3 2" xfId="6282"/>
    <cellStyle name="entry box 3 4 4" xfId="5415"/>
    <cellStyle name="entry box 3 5" xfId="3086"/>
    <cellStyle name="entry box 3 5 2" xfId="4560"/>
    <cellStyle name="entry box 3 5 2 2" xfId="6584"/>
    <cellStyle name="entry box 3 5 3" xfId="5763"/>
    <cellStyle name="entry box 3 6" xfId="2514"/>
    <cellStyle name="entry box 3 6 2" xfId="4012"/>
    <cellStyle name="entry box 3 6 2 2" xfId="6212"/>
    <cellStyle name="entry box 3 6 3" xfId="5342"/>
    <cellStyle name="entry box 3 7" xfId="3727"/>
    <cellStyle name="entry box 3 7 2" xfId="6074"/>
    <cellStyle name="entry box 3 8" xfId="5148"/>
    <cellStyle name="entry box 4" xfId="590"/>
    <cellStyle name="entry box 4 2" xfId="2642"/>
    <cellStyle name="entry box 4 2 2" xfId="3439"/>
    <cellStyle name="entry box 4 2 2 2" xfId="4912"/>
    <cellStyle name="entry box 4 2 2 2 2" xfId="6737"/>
    <cellStyle name="entry box 4 2 2 3" xfId="5928"/>
    <cellStyle name="entry box 4 2 3" xfId="4139"/>
    <cellStyle name="entry box 4 2 3 2" xfId="6296"/>
    <cellStyle name="entry box 4 2 4" xfId="5430"/>
    <cellStyle name="entry box 4 3" xfId="3079"/>
    <cellStyle name="entry box 4 3 2" xfId="4553"/>
    <cellStyle name="entry box 4 3 2 2" xfId="6578"/>
    <cellStyle name="entry box 4 3 3" xfId="5756"/>
    <cellStyle name="entry box 4 4" xfId="2472"/>
    <cellStyle name="entry box 4 4 2" xfId="3970"/>
    <cellStyle name="entry box 4 4 2 2" xfId="6178"/>
    <cellStyle name="entry box 4 4 3" xfId="5307"/>
    <cellStyle name="entry box 4 5" xfId="3746"/>
    <cellStyle name="entry box 4 5 2" xfId="6081"/>
    <cellStyle name="entry box 4 6" xfId="5160"/>
    <cellStyle name="entry box 5" xfId="708"/>
    <cellStyle name="entry box 5 2" xfId="2719"/>
    <cellStyle name="entry box 5 2 2" xfId="3506"/>
    <cellStyle name="entry box 5 2 2 2" xfId="4976"/>
    <cellStyle name="entry box 5 2 2 2 2" xfId="6767"/>
    <cellStyle name="entry box 5 2 2 3" xfId="5964"/>
    <cellStyle name="entry box 5 2 3" xfId="4210"/>
    <cellStyle name="entry box 5 2 3 2" xfId="6335"/>
    <cellStyle name="entry box 5 2 4" xfId="5475"/>
    <cellStyle name="entry box 5 3" xfId="2776"/>
    <cellStyle name="entry box 5 3 2" xfId="4266"/>
    <cellStyle name="entry box 5 3 2 2" xfId="6378"/>
    <cellStyle name="entry box 5 3 3" xfId="5523"/>
    <cellStyle name="entry box 5 4" xfId="2764"/>
    <cellStyle name="entry box 5 4 2" xfId="4254"/>
    <cellStyle name="entry box 5 4 2 2" xfId="6366"/>
    <cellStyle name="entry box 5 4 3" xfId="5511"/>
    <cellStyle name="entry box 5 5" xfId="3802"/>
    <cellStyle name="entry box 5 5 2" xfId="6105"/>
    <cellStyle name="entry box 5 6" xfId="5200"/>
    <cellStyle name="entry box 6" xfId="743"/>
    <cellStyle name="entry box 6 2" xfId="2741"/>
    <cellStyle name="entry box 6 2 2" xfId="3521"/>
    <cellStyle name="entry box 6 2 2 2" xfId="4991"/>
    <cellStyle name="entry box 6 2 2 2 2" xfId="6775"/>
    <cellStyle name="entry box 6 2 2 3" xfId="5974"/>
    <cellStyle name="entry box 6 2 3" xfId="4231"/>
    <cellStyle name="entry box 6 2 3 2" xfId="6348"/>
    <cellStyle name="entry box 6 2 4" xfId="5491"/>
    <cellStyle name="entry box 6 3" xfId="3046"/>
    <cellStyle name="entry box 6 3 2" xfId="4520"/>
    <cellStyle name="entry box 6 3 2 2" xfId="6548"/>
    <cellStyle name="entry box 6 3 3" xfId="5724"/>
    <cellStyle name="entry box 6 4" xfId="2885"/>
    <cellStyle name="entry box 6 4 2" xfId="4374"/>
    <cellStyle name="entry box 6 4 2 2" xfId="6466"/>
    <cellStyle name="entry box 6 4 3" xfId="5616"/>
    <cellStyle name="entry box 6 5" xfId="3816"/>
    <cellStyle name="entry box 6 5 2" xfId="6112"/>
    <cellStyle name="entry box 6 6" xfId="5209"/>
    <cellStyle name="entry box 7" xfId="3196"/>
    <cellStyle name="entry box 7 2" xfId="4670"/>
    <cellStyle name="entry box 7 2 2" xfId="6672"/>
    <cellStyle name="entry box 7 3" xfId="5857"/>
    <cellStyle name="Euro" xfId="214"/>
    <cellStyle name="Explanatory Text 2" xfId="2042"/>
    <cellStyle name="EY House" xfId="215"/>
    <cellStyle name="EY0dp" xfId="2043"/>
    <cellStyle name="EYtext" xfId="2044"/>
    <cellStyle name="F2" xfId="216"/>
    <cellStyle name="F3" xfId="217"/>
    <cellStyle name="F4" xfId="218"/>
    <cellStyle name="F5" xfId="219"/>
    <cellStyle name="F6" xfId="220"/>
    <cellStyle name="F7" xfId="221"/>
    <cellStyle name="F8" xfId="222"/>
    <cellStyle name="Fixed" xfId="223"/>
    <cellStyle name="Fixed 2" xfId="2045"/>
    <cellStyle name="ƒnƒCƒp[ƒŠƒ“ƒN" xfId="2046"/>
    <cellStyle name="Följde hyperlänken_TAX PACK" xfId="2047"/>
    <cellStyle name="Format Datum (ÅÅ-MM-DD t.mm)" xfId="2048"/>
    <cellStyle name="Format Datum (ÅÅ-MM-DD)" xfId="2049"/>
    <cellStyle name="Format Datum (MMM-ÅÅ)" xfId="2050"/>
    <cellStyle name="Format Procent (0%)" xfId="2051"/>
    <cellStyle name="Format Procent (0,0%)" xfId="2052"/>
    <cellStyle name="Format Tal (# ##0)" xfId="2053"/>
    <cellStyle name="Format Tal (# ##0,00)" xfId="2054"/>
    <cellStyle name="Format Tid (t.mm)" xfId="2055"/>
    <cellStyle name="Good 2" xfId="2056"/>
    <cellStyle name="Grey" xfId="224"/>
    <cellStyle name="HEADER" xfId="225"/>
    <cellStyle name="Header1" xfId="226"/>
    <cellStyle name="Header2" xfId="227"/>
    <cellStyle name="Header2 2" xfId="376"/>
    <cellStyle name="Header2 2 2" xfId="625"/>
    <cellStyle name="Header2 2 2 2" xfId="2406"/>
    <cellStyle name="Header2 2 2 2 2" xfId="2999"/>
    <cellStyle name="Header2 2 2 2 2 2" xfId="3635"/>
    <cellStyle name="Header2 2 2 2 2 2 2" xfId="5097"/>
    <cellStyle name="Header2 2 2 2 2 2 3" xfId="6040"/>
    <cellStyle name="Header2 2 2 2 2 3" xfId="4477"/>
    <cellStyle name="Header2 2 2 2 2 4" xfId="5696"/>
    <cellStyle name="Header2 2 2 2 3" xfId="3141"/>
    <cellStyle name="Header2 2 2 2 3 2" xfId="4615"/>
    <cellStyle name="Header2 2 2 2 4" xfId="2887"/>
    <cellStyle name="Header2 2 2 2 4 2" xfId="4375"/>
    <cellStyle name="Header2 2 2 2 4 3" xfId="5618"/>
    <cellStyle name="Header2 2 2 2 5" xfId="3910"/>
    <cellStyle name="Header2 2 2 2 6" xfId="3947"/>
    <cellStyle name="Header2 2 2 2 7" xfId="5271"/>
    <cellStyle name="Header2 2 2 3" xfId="2659"/>
    <cellStyle name="Header2 2 2 3 2" xfId="3452"/>
    <cellStyle name="Header2 2 2 3 2 2" xfId="4924"/>
    <cellStyle name="Header2 2 2 3 2 3" xfId="5938"/>
    <cellStyle name="Header2 2 2 3 3" xfId="4156"/>
    <cellStyle name="Header2 2 2 3 4" xfId="5445"/>
    <cellStyle name="Header2 2 2 4" xfId="2871"/>
    <cellStyle name="Header2 2 2 4 2" xfId="4360"/>
    <cellStyle name="Header2 2 2 4 3" xfId="5606"/>
    <cellStyle name="Header2 2 2 5" xfId="3757"/>
    <cellStyle name="Header2 2 2 6" xfId="3686"/>
    <cellStyle name="Header2 2 2 7" xfId="5170"/>
    <cellStyle name="Header2 2 3" xfId="2301"/>
    <cellStyle name="Header2 2 3 2" xfId="2914"/>
    <cellStyle name="Header2 2 3 2 2" xfId="3563"/>
    <cellStyle name="Header2 2 3 2 2 2" xfId="5031"/>
    <cellStyle name="Header2 2 3 2 2 3" xfId="5999"/>
    <cellStyle name="Header2 2 3 2 3" xfId="4400"/>
    <cellStyle name="Header2 2 3 2 4" xfId="5638"/>
    <cellStyle name="Header2 2 3 3" xfId="2559"/>
    <cellStyle name="Header2 2 3 3 2" xfId="4057"/>
    <cellStyle name="Header2 2 3 4" xfId="3056"/>
    <cellStyle name="Header2 2 3 4 2" xfId="4530"/>
    <cellStyle name="Header2 2 3 4 3" xfId="5734"/>
    <cellStyle name="Header2 2 3 5" xfId="3851"/>
    <cellStyle name="Header2 2 3 6" xfId="3941"/>
    <cellStyle name="Header2 2 3 7" xfId="5233"/>
    <cellStyle name="Header2 2 4" xfId="2550"/>
    <cellStyle name="Header2 2 4 2" xfId="3382"/>
    <cellStyle name="Header2 2 4 2 2" xfId="4856"/>
    <cellStyle name="Header2 2 4 2 3" xfId="5902"/>
    <cellStyle name="Header2 2 4 3" xfId="4048"/>
    <cellStyle name="Header2 2 4 4" xfId="5374"/>
    <cellStyle name="Header2 2 5" xfId="2521"/>
    <cellStyle name="Header2 2 5 2" xfId="3370"/>
    <cellStyle name="Header2 2 5 2 2" xfId="4844"/>
    <cellStyle name="Header2 2 5 2 3" xfId="5891"/>
    <cellStyle name="Header2 2 5 3" xfId="4019"/>
    <cellStyle name="Header2 2 6" xfId="3205"/>
    <cellStyle name="Header2 2 6 2" xfId="4679"/>
    <cellStyle name="Header2 2 7" xfId="3696"/>
    <cellStyle name="Header2 3" xfId="591"/>
    <cellStyle name="Header2 3 2" xfId="2402"/>
    <cellStyle name="Header2 3 2 2" xfId="2995"/>
    <cellStyle name="Header2 3 2 2 2" xfId="3631"/>
    <cellStyle name="Header2 3 2 2 2 2" xfId="5093"/>
    <cellStyle name="Header2 3 2 2 2 3" xfId="6037"/>
    <cellStyle name="Header2 3 2 2 3" xfId="4473"/>
    <cellStyle name="Header2 3 2 2 4" xfId="5693"/>
    <cellStyle name="Header2 3 2 3" xfId="3138"/>
    <cellStyle name="Header2 3 2 3 2" xfId="4612"/>
    <cellStyle name="Header2 3 2 4" xfId="2912"/>
    <cellStyle name="Header2 3 2 4 2" xfId="4398"/>
    <cellStyle name="Header2 3 2 4 3" xfId="5636"/>
    <cellStyle name="Header2 3 2 5" xfId="3906"/>
    <cellStyle name="Header2 3 2 6" xfId="3945"/>
    <cellStyle name="Header2 3 2 7" xfId="5268"/>
    <cellStyle name="Header2 3 3" xfId="2290"/>
    <cellStyle name="Header2 3 3 2" xfId="2906"/>
    <cellStyle name="Header2 3 3 2 2" xfId="3557"/>
    <cellStyle name="Header2 3 3 2 2 2" xfId="5025"/>
    <cellStyle name="Header2 3 3 2 2 3" xfId="5993"/>
    <cellStyle name="Header2 3 3 2 3" xfId="4392"/>
    <cellStyle name="Header2 3 3 2 4" xfId="5630"/>
    <cellStyle name="Header2 3 3 3" xfId="2875"/>
    <cellStyle name="Header2 3 3 3 2" xfId="4364"/>
    <cellStyle name="Header2 3 3 4" xfId="3065"/>
    <cellStyle name="Header2 3 3 4 2" xfId="4539"/>
    <cellStyle name="Header2 3 3 4 3" xfId="5743"/>
    <cellStyle name="Header2 3 3 5" xfId="3844"/>
    <cellStyle name="Header2 3 3 6" xfId="3939"/>
    <cellStyle name="Header2 3 3 7" xfId="5227"/>
    <cellStyle name="Header2 3 4" xfId="2643"/>
    <cellStyle name="Header2 3 4 2" xfId="3440"/>
    <cellStyle name="Header2 3 4 2 2" xfId="4913"/>
    <cellStyle name="Header2 3 4 2 3" xfId="5929"/>
    <cellStyle name="Header2 3 4 3" xfId="4140"/>
    <cellStyle name="Header2 3 4 4" xfId="5431"/>
    <cellStyle name="Header2 3 5" xfId="2456"/>
    <cellStyle name="Header2 3 5 2" xfId="3954"/>
    <cellStyle name="Header2 3 5 3" xfId="5293"/>
    <cellStyle name="Header2 3 6" xfId="3747"/>
    <cellStyle name="Header2 3 7" xfId="3868"/>
    <cellStyle name="Header2 3 8" xfId="5161"/>
    <cellStyle name="Header2 4" xfId="709"/>
    <cellStyle name="Header2 4 2" xfId="2359"/>
    <cellStyle name="Header2 4 2 2" xfId="2955"/>
    <cellStyle name="Header2 4 2 2 2" xfId="3591"/>
    <cellStyle name="Header2 4 2 2 2 2" xfId="5059"/>
    <cellStyle name="Header2 4 2 2 2 3" xfId="6019"/>
    <cellStyle name="Header2 4 2 2 3" xfId="4437"/>
    <cellStyle name="Header2 4 2 2 4" xfId="5671"/>
    <cellStyle name="Header2 4 2 3" xfId="2653"/>
    <cellStyle name="Header2 4 2 3 2" xfId="4150"/>
    <cellStyle name="Header2 4 2 4" xfId="3081"/>
    <cellStyle name="Header2 4 2 4 2" xfId="4555"/>
    <cellStyle name="Header2 4 2 4 3" xfId="5758"/>
    <cellStyle name="Header2 4 2 5" xfId="3876"/>
    <cellStyle name="Header2 4 2 6" xfId="3943"/>
    <cellStyle name="Header2 4 2 7" xfId="5251"/>
    <cellStyle name="Header2 4 3" xfId="2720"/>
    <cellStyle name="Header2 4 3 2" xfId="3507"/>
    <cellStyle name="Header2 4 3 2 2" xfId="4977"/>
    <cellStyle name="Header2 4 3 2 3" xfId="5965"/>
    <cellStyle name="Header2 4 3 3" xfId="4211"/>
    <cellStyle name="Header2 4 3 4" xfId="5476"/>
    <cellStyle name="Header2 4 4" xfId="2868"/>
    <cellStyle name="Header2 4 4 2" xfId="4357"/>
    <cellStyle name="Header2 4 4 3" xfId="5605"/>
    <cellStyle name="Header2 4 5" xfId="3803"/>
    <cellStyle name="Header2 4 6" xfId="3678"/>
    <cellStyle name="Header2 4 7" xfId="5201"/>
    <cellStyle name="Header2 5" xfId="744"/>
    <cellStyle name="Header2 5 2" xfId="2742"/>
    <cellStyle name="Header2 5 2 2" xfId="3522"/>
    <cellStyle name="Header2 5 2 2 2" xfId="4992"/>
    <cellStyle name="Header2 5 2 2 3" xfId="5975"/>
    <cellStyle name="Header2 5 2 3" xfId="4232"/>
    <cellStyle name="Header2 5 2 4" xfId="5492"/>
    <cellStyle name="Header2 5 3" xfId="2466"/>
    <cellStyle name="Header2 5 3 2" xfId="3964"/>
    <cellStyle name="Header2 5 4" xfId="3131"/>
    <cellStyle name="Header2 5 4 2" xfId="4605"/>
    <cellStyle name="Header2 5 4 3" xfId="5807"/>
    <cellStyle name="Header2 5 5" xfId="3817"/>
    <cellStyle name="Header2 5 6" xfId="3676"/>
    <cellStyle name="Header2 5 7" xfId="5210"/>
    <cellStyle name="Header2 6" xfId="2504"/>
    <cellStyle name="Header2 6 2" xfId="3367"/>
    <cellStyle name="Header2 6 2 2" xfId="4841"/>
    <cellStyle name="Header2 6 2 3" xfId="5888"/>
    <cellStyle name="Header2 6 3" xfId="4002"/>
    <cellStyle name="Header2 6 4" xfId="5333"/>
    <cellStyle name="Header2 7" xfId="2606"/>
    <cellStyle name="Header2 7 2" xfId="4104"/>
    <cellStyle name="Header2 8" xfId="3687"/>
    <cellStyle name="Heading" xfId="228"/>
    <cellStyle name="Heading 1 2" xfId="2057"/>
    <cellStyle name="Heading 2 2" xfId="690"/>
    <cellStyle name="Heading 2 2 2" xfId="2058"/>
    <cellStyle name="Heading 2 2 3" xfId="2701"/>
    <cellStyle name="Heading 2 3" xfId="2342"/>
    <cellStyle name="Heading 2 4" xfId="549"/>
    <cellStyle name="Heading 3 2" xfId="2059"/>
    <cellStyle name="Heading 3 3" xfId="2291"/>
    <cellStyle name="Heading 3 4" xfId="592"/>
    <cellStyle name="Heading 4 2" xfId="2060"/>
    <cellStyle name="Heading 4 3" xfId="745"/>
    <cellStyle name="Heading1" xfId="229"/>
    <cellStyle name="Heading1 2" xfId="2061"/>
    <cellStyle name="Heading2" xfId="230"/>
    <cellStyle name="Heading2 2" xfId="2062"/>
    <cellStyle name="HEADINGS" xfId="231"/>
    <cellStyle name="HEADINGS 2" xfId="548"/>
    <cellStyle name="HEADINGS 2 2" xfId="689"/>
    <cellStyle name="HEADINGS 2 2 2" xfId="2700"/>
    <cellStyle name="HEADINGS 2 3" xfId="2341"/>
    <cellStyle name="HEADINGS 3" xfId="593"/>
    <cellStyle name="HEADINGS 3 2" xfId="2292"/>
    <cellStyle name="HEADINGS 4" xfId="746"/>
    <cellStyle name="HEADINGSTOP" xfId="232"/>
    <cellStyle name="Hyperlänk_TAX PACK" xfId="2063"/>
    <cellStyle name="Hyperlink 2" xfId="738"/>
    <cellStyle name="Î¡Ýá [0]_95" xfId="2064"/>
    <cellStyle name="Î¡Ýá_95" xfId="2065"/>
    <cellStyle name="indata" xfId="2066"/>
    <cellStyle name="indata 2" xfId="2372"/>
    <cellStyle name="indata 2 2" xfId="2968"/>
    <cellStyle name="indata 2 2 2" xfId="3604"/>
    <cellStyle name="indata 2 2 2 2" xfId="5071"/>
    <cellStyle name="indata 2 2 2 2 2" xfId="6819"/>
    <cellStyle name="indata 2 2 2 3" xfId="6029"/>
    <cellStyle name="indata 2 2 3" xfId="4448"/>
    <cellStyle name="indata 2 2 3 2" xfId="6515"/>
    <cellStyle name="indata 2 2 4" xfId="5681"/>
    <cellStyle name="indata 2 3" xfId="2854"/>
    <cellStyle name="indata 2 3 2" xfId="4343"/>
    <cellStyle name="indata 2 3 2 2" xfId="6448"/>
    <cellStyle name="indata 2 3 3" xfId="5595"/>
    <cellStyle name="indata 2 4" xfId="2608"/>
    <cellStyle name="indata 2 4 2" xfId="4106"/>
    <cellStyle name="indata 2 4 2 2" xfId="6275"/>
    <cellStyle name="indata 2 4 3" xfId="5408"/>
    <cellStyle name="indata 2 5" xfId="3887"/>
    <cellStyle name="indata 2 5 2" xfId="6148"/>
    <cellStyle name="indata 2 6" xfId="5260"/>
    <cellStyle name="indata 3" xfId="2840"/>
    <cellStyle name="indata 3 2" xfId="3535"/>
    <cellStyle name="indata 3 2 2" xfId="5005"/>
    <cellStyle name="indata 3 2 2 2" xfId="6783"/>
    <cellStyle name="indata 3 2 3" xfId="5984"/>
    <cellStyle name="indata 3 3" xfId="4329"/>
    <cellStyle name="indata 3 3 2" xfId="6435"/>
    <cellStyle name="indata 3 4" xfId="5582"/>
    <cellStyle name="indata 4" xfId="2588"/>
    <cellStyle name="indata 4 2" xfId="4086"/>
    <cellStyle name="indata 4 2 2" xfId="6263"/>
    <cellStyle name="indata 4 3" xfId="5396"/>
    <cellStyle name="indata 5" xfId="2760"/>
    <cellStyle name="indata 5 2" xfId="4250"/>
    <cellStyle name="indata 5 2 2" xfId="6362"/>
    <cellStyle name="indata 5 3" xfId="5507"/>
    <cellStyle name="indata 6" xfId="3829"/>
    <cellStyle name="indata 6 2" xfId="6120"/>
    <cellStyle name="indata 7" xfId="5219"/>
    <cellStyle name="Input [yellow]" xfId="233"/>
    <cellStyle name="Input [yellow] 2" xfId="377"/>
    <cellStyle name="Input [yellow] 2 2" xfId="626"/>
    <cellStyle name="Input [yellow] 2 2 2" xfId="2660"/>
    <cellStyle name="Input [yellow] 2 2 2 2" xfId="3453"/>
    <cellStyle name="Input [yellow] 2 2 2 2 2" xfId="4925"/>
    <cellStyle name="Input [yellow] 2 2 2 2 2 2" xfId="6745"/>
    <cellStyle name="Input [yellow] 2 2 2 2 3" xfId="5939"/>
    <cellStyle name="Input [yellow] 2 2 2 3" xfId="4157"/>
    <cellStyle name="Input [yellow] 2 2 2 3 2" xfId="6309"/>
    <cellStyle name="Input [yellow] 2 2 2 4" xfId="5446"/>
    <cellStyle name="Input [yellow] 2 2 3" xfId="2543"/>
    <cellStyle name="Input [yellow] 2 2 3 2" xfId="4041"/>
    <cellStyle name="Input [yellow] 2 2 3 2 2" xfId="6236"/>
    <cellStyle name="Input [yellow] 2 2 3 3" xfId="5367"/>
    <cellStyle name="Input [yellow] 2 2 4" xfId="2729"/>
    <cellStyle name="Input [yellow] 2 2 4 2" xfId="4219"/>
    <cellStyle name="Input [yellow] 2 2 4 2 2" xfId="6340"/>
    <cellStyle name="Input [yellow] 2 2 4 3" xfId="5483"/>
    <cellStyle name="Input [yellow] 2 2 5" xfId="3758"/>
    <cellStyle name="Input [yellow] 2 2 5 2" xfId="6089"/>
    <cellStyle name="Input [yellow] 2 2 6" xfId="5171"/>
    <cellStyle name="Input [yellow] 2 3" xfId="2302"/>
    <cellStyle name="Input [yellow] 2 3 2" xfId="2915"/>
    <cellStyle name="Input [yellow] 2 3 2 2" xfId="3564"/>
    <cellStyle name="Input [yellow] 2 3 2 2 2" xfId="5032"/>
    <cellStyle name="Input [yellow] 2 3 2 2 2 2" xfId="6794"/>
    <cellStyle name="Input [yellow] 2 3 2 2 3" xfId="6000"/>
    <cellStyle name="Input [yellow] 2 3 2 3" xfId="4401"/>
    <cellStyle name="Input [yellow] 2 3 2 3 2" xfId="6482"/>
    <cellStyle name="Input [yellow] 2 3 2 4" xfId="5639"/>
    <cellStyle name="Input [yellow] 2 3 3" xfId="3054"/>
    <cellStyle name="Input [yellow] 2 3 3 2" xfId="4528"/>
    <cellStyle name="Input [yellow] 2 3 3 2 2" xfId="6556"/>
    <cellStyle name="Input [yellow] 2 3 3 3" xfId="5732"/>
    <cellStyle name="Input [yellow] 2 3 4" xfId="2586"/>
    <cellStyle name="Input [yellow] 2 3 4 2" xfId="4084"/>
    <cellStyle name="Input [yellow] 2 3 4 2 2" xfId="6262"/>
    <cellStyle name="Input [yellow] 2 3 4 3" xfId="5395"/>
    <cellStyle name="Input [yellow] 2 3 5" xfId="3852"/>
    <cellStyle name="Input [yellow] 2 3 5 2" xfId="6128"/>
    <cellStyle name="Input [yellow] 2 3 6" xfId="5234"/>
    <cellStyle name="Input [yellow] 2 4" xfId="2551"/>
    <cellStyle name="Input [yellow] 2 4 2" xfId="3383"/>
    <cellStyle name="Input [yellow] 2 4 2 2" xfId="4857"/>
    <cellStyle name="Input [yellow] 2 4 2 2 2" xfId="6714"/>
    <cellStyle name="Input [yellow] 2 4 2 3" xfId="5903"/>
    <cellStyle name="Input [yellow] 2 4 3" xfId="4049"/>
    <cellStyle name="Input [yellow] 2 4 3 2" xfId="6243"/>
    <cellStyle name="Input [yellow] 2 4 4" xfId="5375"/>
    <cellStyle name="Input [yellow] 2 5" xfId="2859"/>
    <cellStyle name="Input [yellow] 2 5 2" xfId="4348"/>
    <cellStyle name="Input [yellow] 2 5 2 2" xfId="6452"/>
    <cellStyle name="Input [yellow] 2 5 3" xfId="5599"/>
    <cellStyle name="Input [yellow] 2 6" xfId="3042"/>
    <cellStyle name="Input [yellow] 2 6 2" xfId="4516"/>
    <cellStyle name="Input [yellow] 2 6 2 2" xfId="6544"/>
    <cellStyle name="Input [yellow] 2 6 3" xfId="5720"/>
    <cellStyle name="Input [yellow] 2 7" xfId="3206"/>
    <cellStyle name="Input [yellow] 2 7 2" xfId="4680"/>
    <cellStyle name="Input [yellow] 2 7 2 2" xfId="6680"/>
    <cellStyle name="Input [yellow] 2 7 3" xfId="5865"/>
    <cellStyle name="Input [yellow] 2 8" xfId="3697"/>
    <cellStyle name="Input [yellow] 2 8 2" xfId="6064"/>
    <cellStyle name="Input [yellow] 3" xfId="547"/>
    <cellStyle name="Input [yellow] 3 2" xfId="688"/>
    <cellStyle name="Input [yellow] 3 2 2" xfId="2432"/>
    <cellStyle name="Input [yellow] 3 2 2 2" xfId="3024"/>
    <cellStyle name="Input [yellow] 3 2 2 2 2" xfId="3658"/>
    <cellStyle name="Input [yellow] 3 2 2 2 2 2" xfId="5119"/>
    <cellStyle name="Input [yellow] 3 2 2 2 2 2 2" xfId="6835"/>
    <cellStyle name="Input [yellow] 3 2 2 2 2 3" xfId="6051"/>
    <cellStyle name="Input [yellow] 3 2 2 2 3" xfId="4500"/>
    <cellStyle name="Input [yellow] 3 2 2 2 3 2" xfId="6535"/>
    <cellStyle name="Input [yellow] 3 2 2 2 4" xfId="5709"/>
    <cellStyle name="Input [yellow] 3 2 2 3" xfId="3154"/>
    <cellStyle name="Input [yellow] 3 2 2 3 2" xfId="4628"/>
    <cellStyle name="Input [yellow] 3 2 2 3 2 2" xfId="6639"/>
    <cellStyle name="Input [yellow] 3 2 2 3 3" xfId="5824"/>
    <cellStyle name="Input [yellow] 3 2 2 4" xfId="3040"/>
    <cellStyle name="Input [yellow] 3 2 2 4 2" xfId="4514"/>
    <cellStyle name="Input [yellow] 3 2 2 4 2 2" xfId="6542"/>
    <cellStyle name="Input [yellow] 3 2 2 4 3" xfId="5718"/>
    <cellStyle name="Input [yellow] 3 2 2 5" xfId="3928"/>
    <cellStyle name="Input [yellow] 3 2 2 5 2" xfId="6157"/>
    <cellStyle name="Input [yellow] 3 2 2 6" xfId="5282"/>
    <cellStyle name="Input [yellow] 3 2 3" xfId="2699"/>
    <cellStyle name="Input [yellow] 3 2 3 2" xfId="3488"/>
    <cellStyle name="Input [yellow] 3 2 3 2 2" xfId="4958"/>
    <cellStyle name="Input [yellow] 3 2 3 2 2 2" xfId="6757"/>
    <cellStyle name="Input [yellow] 3 2 3 2 3" xfId="5954"/>
    <cellStyle name="Input [yellow] 3 2 3 3" xfId="4192"/>
    <cellStyle name="Input [yellow] 3 2 3 3 2" xfId="6325"/>
    <cellStyle name="Input [yellow] 3 2 3 4" xfId="5465"/>
    <cellStyle name="Input [yellow] 3 2 4" xfId="2525"/>
    <cellStyle name="Input [yellow] 3 2 4 2" xfId="4023"/>
    <cellStyle name="Input [yellow] 3 2 4 2 2" xfId="6220"/>
    <cellStyle name="Input [yellow] 3 2 4 3" xfId="5351"/>
    <cellStyle name="Input [yellow] 3 2 5" xfId="2473"/>
    <cellStyle name="Input [yellow] 3 2 5 2" xfId="3971"/>
    <cellStyle name="Input [yellow] 3 2 5 2 2" xfId="6179"/>
    <cellStyle name="Input [yellow] 3 2 5 3" xfId="5308"/>
    <cellStyle name="Input [yellow] 3 2 6" xfId="3786"/>
    <cellStyle name="Input [yellow] 3 2 6 2" xfId="6097"/>
    <cellStyle name="Input [yellow] 3 2 7" xfId="5189"/>
    <cellStyle name="Input [yellow] 3 3" xfId="2340"/>
    <cellStyle name="Input [yellow] 3 3 2" xfId="2938"/>
    <cellStyle name="Input [yellow] 3 3 2 2" xfId="3581"/>
    <cellStyle name="Input [yellow] 3 3 2 2 2" xfId="5049"/>
    <cellStyle name="Input [yellow] 3 3 2 2 2 2" xfId="6804"/>
    <cellStyle name="Input [yellow] 3 3 2 2 3" xfId="6011"/>
    <cellStyle name="Input [yellow] 3 3 2 3" xfId="4422"/>
    <cellStyle name="Input [yellow] 3 3 2 3 2" xfId="6496"/>
    <cellStyle name="Input [yellow] 3 3 2 4" xfId="5656"/>
    <cellStyle name="Input [yellow] 3 3 3" xfId="2825"/>
    <cellStyle name="Input [yellow] 3 3 3 2" xfId="4314"/>
    <cellStyle name="Input [yellow] 3 3 3 2 2" xfId="6420"/>
    <cellStyle name="Input [yellow] 3 3 3 3" xfId="5567"/>
    <cellStyle name="Input [yellow] 3 3 4" xfId="3059"/>
    <cellStyle name="Input [yellow] 3 3 4 2" xfId="4533"/>
    <cellStyle name="Input [yellow] 3 3 4 2 2" xfId="6560"/>
    <cellStyle name="Input [yellow] 3 3 4 3" xfId="5737"/>
    <cellStyle name="Input [yellow] 3 3 5" xfId="3867"/>
    <cellStyle name="Input [yellow] 3 3 5 2" xfId="6136"/>
    <cellStyle name="Input [yellow] 3 3 6" xfId="5243"/>
    <cellStyle name="Input [yellow] 3 4" xfId="2614"/>
    <cellStyle name="Input [yellow] 3 4 2" xfId="3417"/>
    <cellStyle name="Input [yellow] 3 4 2 2" xfId="4891"/>
    <cellStyle name="Input [yellow] 3 4 2 2 2" xfId="6728"/>
    <cellStyle name="Input [yellow] 3 4 2 3" xfId="5918"/>
    <cellStyle name="Input [yellow] 3 4 3" xfId="4112"/>
    <cellStyle name="Input [yellow] 3 4 3 2" xfId="6281"/>
    <cellStyle name="Input [yellow] 3 4 4" xfId="5414"/>
    <cellStyle name="Input [yellow] 3 5" xfId="2799"/>
    <cellStyle name="Input [yellow] 3 5 2" xfId="4289"/>
    <cellStyle name="Input [yellow] 3 5 2 2" xfId="6398"/>
    <cellStyle name="Input [yellow] 3 5 3" xfId="5543"/>
    <cellStyle name="Input [yellow] 3 6" xfId="2767"/>
    <cellStyle name="Input [yellow] 3 6 2" xfId="4257"/>
    <cellStyle name="Input [yellow] 3 6 2 2" xfId="6369"/>
    <cellStyle name="Input [yellow] 3 6 3" xfId="5514"/>
    <cellStyle name="Input [yellow] 3 7" xfId="3726"/>
    <cellStyle name="Input [yellow] 3 7 2" xfId="6073"/>
    <cellStyle name="Input [yellow] 3 8" xfId="5147"/>
    <cellStyle name="Input [yellow] 4" xfId="594"/>
    <cellStyle name="Input [yellow] 4 2" xfId="2645"/>
    <cellStyle name="Input [yellow] 4 2 2" xfId="3441"/>
    <cellStyle name="Input [yellow] 4 2 2 2" xfId="4914"/>
    <cellStyle name="Input [yellow] 4 2 2 2 2" xfId="6738"/>
    <cellStyle name="Input [yellow] 4 2 2 3" xfId="5930"/>
    <cellStyle name="Input [yellow] 4 2 3" xfId="4142"/>
    <cellStyle name="Input [yellow] 4 2 3 2" xfId="6298"/>
    <cellStyle name="Input [yellow] 4 2 4" xfId="5433"/>
    <cellStyle name="Input [yellow] 4 3" xfId="3044"/>
    <cellStyle name="Input [yellow] 4 3 2" xfId="4518"/>
    <cellStyle name="Input [yellow] 4 3 2 2" xfId="6546"/>
    <cellStyle name="Input [yellow] 4 3 3" xfId="5722"/>
    <cellStyle name="Input [yellow] 4 4" xfId="2929"/>
    <cellStyle name="Input [yellow] 4 4 2" xfId="4413"/>
    <cellStyle name="Input [yellow] 4 4 2 2" xfId="6490"/>
    <cellStyle name="Input [yellow] 4 4 3" xfId="5650"/>
    <cellStyle name="Input [yellow] 4 5" xfId="3748"/>
    <cellStyle name="Input [yellow] 4 5 2" xfId="6082"/>
    <cellStyle name="Input [yellow] 4 6" xfId="5162"/>
    <cellStyle name="Input [yellow] 5" xfId="710"/>
    <cellStyle name="Input [yellow] 5 2" xfId="2721"/>
    <cellStyle name="Input [yellow] 5 2 2" xfId="3508"/>
    <cellStyle name="Input [yellow] 5 2 2 2" xfId="4978"/>
    <cellStyle name="Input [yellow] 5 2 2 2 2" xfId="6768"/>
    <cellStyle name="Input [yellow] 5 2 2 3" xfId="5966"/>
    <cellStyle name="Input [yellow] 5 2 3" xfId="4212"/>
    <cellStyle name="Input [yellow] 5 2 3 2" xfId="6336"/>
    <cellStyle name="Input [yellow] 5 2 4" xfId="5477"/>
    <cellStyle name="Input [yellow] 5 3" xfId="2880"/>
    <cellStyle name="Input [yellow] 5 3 2" xfId="4369"/>
    <cellStyle name="Input [yellow] 5 3 2 2" xfId="6463"/>
    <cellStyle name="Input [yellow] 5 3 3" xfId="5613"/>
    <cellStyle name="Input [yellow] 5 4" xfId="2506"/>
    <cellStyle name="Input [yellow] 5 4 2" xfId="4004"/>
    <cellStyle name="Input [yellow] 5 4 2 2" xfId="6205"/>
    <cellStyle name="Input [yellow] 5 4 3" xfId="5335"/>
    <cellStyle name="Input [yellow] 5 5" xfId="3804"/>
    <cellStyle name="Input [yellow] 5 5 2" xfId="6106"/>
    <cellStyle name="Input [yellow] 5 6" xfId="5202"/>
    <cellStyle name="Input [yellow] 6" xfId="747"/>
    <cellStyle name="Input [yellow] 6 2" xfId="2743"/>
    <cellStyle name="Input [yellow] 6 2 2" xfId="3523"/>
    <cellStyle name="Input [yellow] 6 2 2 2" xfId="4993"/>
    <cellStyle name="Input [yellow] 6 2 2 2 2" xfId="6776"/>
    <cellStyle name="Input [yellow] 6 2 2 3" xfId="5976"/>
    <cellStyle name="Input [yellow] 6 2 3" xfId="4233"/>
    <cellStyle name="Input [yellow] 6 2 3 2" xfId="6349"/>
    <cellStyle name="Input [yellow] 6 2 4" xfId="5493"/>
    <cellStyle name="Input [yellow] 6 3" xfId="2772"/>
    <cellStyle name="Input [yellow] 6 3 2" xfId="4262"/>
    <cellStyle name="Input [yellow] 6 3 2 2" xfId="6374"/>
    <cellStyle name="Input [yellow] 6 3 3" xfId="5519"/>
    <cellStyle name="Input [yellow] 6 4" xfId="3179"/>
    <cellStyle name="Input [yellow] 6 4 2" xfId="4653"/>
    <cellStyle name="Input [yellow] 6 4 2 2" xfId="6663"/>
    <cellStyle name="Input [yellow] 6 4 3" xfId="5848"/>
    <cellStyle name="Input [yellow] 6 5" xfId="3818"/>
    <cellStyle name="Input [yellow] 6 5 2" xfId="6113"/>
    <cellStyle name="Input [yellow] 6 6" xfId="5211"/>
    <cellStyle name="Input [yellow] 7" xfId="3197"/>
    <cellStyle name="Input [yellow] 7 2" xfId="4671"/>
    <cellStyle name="Input [yellow] 7 2 2" xfId="6673"/>
    <cellStyle name="Input [yellow] 7 3" xfId="5858"/>
    <cellStyle name="Input 2" xfId="2067"/>
    <cellStyle name="Kolumnrubrik" xfId="2068"/>
    <cellStyle name="Kolumnrubrik 2" xfId="2373"/>
    <cellStyle name="Kolumnrubrik 2 2" xfId="2969"/>
    <cellStyle name="Kolumnrubrik 2 2 2" xfId="3605"/>
    <cellStyle name="Kolumnrubrik 2 2 2 2" xfId="5072"/>
    <cellStyle name="Kolumnrubrik 2 2 2 2 2" xfId="6820"/>
    <cellStyle name="Kolumnrubrik 2 2 2 3" xfId="6030"/>
    <cellStyle name="Kolumnrubrik 2 2 3" xfId="4449"/>
    <cellStyle name="Kolumnrubrik 2 2 3 2" xfId="6516"/>
    <cellStyle name="Kolumnrubrik 2 2 4" xfId="5682"/>
    <cellStyle name="Kolumnrubrik 2 3" xfId="2491"/>
    <cellStyle name="Kolumnrubrik 2 3 2" xfId="3989"/>
    <cellStyle name="Kolumnrubrik 2 3 2 2" xfId="6194"/>
    <cellStyle name="Kolumnrubrik 2 3 3" xfId="5323"/>
    <cellStyle name="Kolumnrubrik 2 4" xfId="2501"/>
    <cellStyle name="Kolumnrubrik 2 4 2" xfId="3999"/>
    <cellStyle name="Kolumnrubrik 2 4 2 2" xfId="6201"/>
    <cellStyle name="Kolumnrubrik 2 4 3" xfId="5330"/>
    <cellStyle name="Kolumnrubrik 2 5" xfId="3888"/>
    <cellStyle name="Kolumnrubrik 2 5 2" xfId="6149"/>
    <cellStyle name="Kolumnrubrik 2 6" xfId="5261"/>
    <cellStyle name="Kolumnrubrik 3" xfId="2841"/>
    <cellStyle name="Kolumnrubrik 3 2" xfId="3536"/>
    <cellStyle name="Kolumnrubrik 3 2 2" xfId="5006"/>
    <cellStyle name="Kolumnrubrik 3 2 2 2" xfId="6784"/>
    <cellStyle name="Kolumnrubrik 3 2 3" xfId="5985"/>
    <cellStyle name="Kolumnrubrik 3 3" xfId="4330"/>
    <cellStyle name="Kolumnrubrik 3 3 2" xfId="6436"/>
    <cellStyle name="Kolumnrubrik 3 4" xfId="5583"/>
    <cellStyle name="Kolumnrubrik 4" xfId="2827"/>
    <cellStyle name="Kolumnrubrik 4 2" xfId="4316"/>
    <cellStyle name="Kolumnrubrik 4 2 2" xfId="6422"/>
    <cellStyle name="Kolumnrubrik 4 3" xfId="5569"/>
    <cellStyle name="Kolumnrubrik 5" xfId="2759"/>
    <cellStyle name="Kolumnrubrik 5 2" xfId="4249"/>
    <cellStyle name="Kolumnrubrik 5 2 2" xfId="6361"/>
    <cellStyle name="Kolumnrubrik 5 3" xfId="5506"/>
    <cellStyle name="Kolumnrubrik 6" xfId="3830"/>
    <cellStyle name="Kolumnrubrik 6 2" xfId="6121"/>
    <cellStyle name="Kolumnrubrik 7" xfId="5220"/>
    <cellStyle name="KRADSFI" xfId="2069"/>
    <cellStyle name="KRADSFI 2" xfId="2374"/>
    <cellStyle name="KRADSFI 2 2" xfId="2970"/>
    <cellStyle name="KRADSFI 2 2 2" xfId="3606"/>
    <cellStyle name="KRADSFI 2 2 2 2" xfId="5073"/>
    <cellStyle name="KRADSFI 2 2 2 2 2" xfId="6821"/>
    <cellStyle name="KRADSFI 2 2 2 3" xfId="6031"/>
    <cellStyle name="KRADSFI 2 2 3" xfId="4450"/>
    <cellStyle name="KRADSFI 2 2 3 2" xfId="6517"/>
    <cellStyle name="KRADSFI 2 2 4" xfId="5683"/>
    <cellStyle name="KRADSFI 2 3" xfId="3053"/>
    <cellStyle name="KRADSFI 2 3 2" xfId="4527"/>
    <cellStyle name="KRADSFI 2 3 2 2" xfId="6555"/>
    <cellStyle name="KRADSFI 2 3 3" xfId="5731"/>
    <cellStyle name="KRADSFI 2 4" xfId="2851"/>
    <cellStyle name="KRADSFI 2 4 2" xfId="4340"/>
    <cellStyle name="KRADSFI 2 4 2 2" xfId="6445"/>
    <cellStyle name="KRADSFI 2 4 3" xfId="5592"/>
    <cellStyle name="KRADSFI 2 5" xfId="3889"/>
    <cellStyle name="KRADSFI 2 5 2" xfId="6150"/>
    <cellStyle name="KRADSFI 2 6" xfId="5262"/>
    <cellStyle name="KRADSFI 3" xfId="2842"/>
    <cellStyle name="KRADSFI 3 2" xfId="3537"/>
    <cellStyle name="KRADSFI 3 2 2" xfId="5007"/>
    <cellStyle name="KRADSFI 3 2 2 2" xfId="6785"/>
    <cellStyle name="KRADSFI 3 2 3" xfId="5986"/>
    <cellStyle name="KRADSFI 3 3" xfId="4331"/>
    <cellStyle name="KRADSFI 3 3 2" xfId="6437"/>
    <cellStyle name="KRADSFI 3 4" xfId="5584"/>
    <cellStyle name="KRADSFI 4" xfId="2475"/>
    <cellStyle name="KRADSFI 4 2" xfId="3973"/>
    <cellStyle name="KRADSFI 4 2 2" xfId="6181"/>
    <cellStyle name="KRADSFI 4 3" xfId="5310"/>
    <cellStyle name="KRADSFI 5" xfId="2758"/>
    <cellStyle name="KRADSFI 5 2" xfId="4248"/>
    <cellStyle name="KRADSFI 5 2 2" xfId="6360"/>
    <cellStyle name="KRADSFI 5 3" xfId="5505"/>
    <cellStyle name="KRADSFI 6" xfId="3831"/>
    <cellStyle name="KRADSFI 6 2" xfId="6122"/>
    <cellStyle name="KRADSFI 7" xfId="5221"/>
    <cellStyle name="left" xfId="234"/>
    <cellStyle name="Link Currency (0)" xfId="235"/>
    <cellStyle name="Link Currency (2)" xfId="236"/>
    <cellStyle name="Link Units (0)" xfId="237"/>
    <cellStyle name="Link Units (1)" xfId="238"/>
    <cellStyle name="Link Units (2)" xfId="239"/>
    <cellStyle name="Linked Cell 2" xfId="2070"/>
    <cellStyle name="Millares [0]_laroux" xfId="240"/>
    <cellStyle name="Millares_laroux" xfId="241"/>
    <cellStyle name="Milliers [0]_!!!GO" xfId="2071"/>
    <cellStyle name="Milliers_!!!GO" xfId="2072"/>
    <cellStyle name="Minus (0)" xfId="2073"/>
    <cellStyle name="Model" xfId="242"/>
    <cellStyle name="Model 2" xfId="546"/>
    <cellStyle name="Model 2 2" xfId="687"/>
    <cellStyle name="Model 2 2 2" xfId="2698"/>
    <cellStyle name="Model 2 3" xfId="2339"/>
    <cellStyle name="Model 3" xfId="595"/>
    <cellStyle name="Model 3 2" xfId="2293"/>
    <cellStyle name="Model 4" xfId="748"/>
    <cellStyle name="Monaire [0]_AR1194" xfId="2074"/>
    <cellStyle name="Monaire_AR1194" xfId="2075"/>
    <cellStyle name="Monšaire [0]_AR1194" xfId="2078"/>
    <cellStyle name="Monšaire_AR1194" xfId="2079"/>
    <cellStyle name="Moneda [0]_laroux" xfId="243"/>
    <cellStyle name="Moneda_laroux" xfId="244"/>
    <cellStyle name="Monétaire [0]_!!!GO" xfId="2076"/>
    <cellStyle name="Monétaire_!!!GO" xfId="2077"/>
    <cellStyle name="Mon閠aire [0]_AR1194" xfId="2082"/>
    <cellStyle name="Mon閠aire_AR1194" xfId="2083"/>
    <cellStyle name="Mon彋aire [0]_AR1194" xfId="2080"/>
    <cellStyle name="Mon彋aire_AR1194" xfId="2081"/>
    <cellStyle name="mw" xfId="245"/>
    <cellStyle name="Neutral 2" xfId="2084"/>
    <cellStyle name="no dec" xfId="246"/>
    <cellStyle name="Normal" xfId="0" builtinId="0"/>
    <cellStyle name="Normal - Style1" xfId="247"/>
    <cellStyle name="Normal - Style1 2" xfId="2085"/>
    <cellStyle name="Normal 1" xfId="248"/>
    <cellStyle name="Normal 1 2" xfId="378"/>
    <cellStyle name="Normal 1 2 2" xfId="627"/>
    <cellStyle name="Normal 1 3" xfId="443"/>
    <cellStyle name="Normal 2" xfId="353"/>
    <cellStyle name="Normal 2 2" xfId="718"/>
    <cellStyle name="Normal 2 2 2" xfId="737"/>
    <cellStyle name="Normal 2 2 3" xfId="2087"/>
    <cellStyle name="Normal 2 3" xfId="2086"/>
    <cellStyle name="Normal 2 3 2" xfId="727"/>
    <cellStyle name="Normal 2 4" xfId="2447"/>
    <cellStyle name="Normal 2 4 2" xfId="3035"/>
    <cellStyle name="Normal 2 4 2 2" xfId="3669"/>
    <cellStyle name="Normal 2 4 2 2 2" xfId="5129"/>
    <cellStyle name="Normal 2 4 2 3" xfId="4509"/>
    <cellStyle name="Normal 2 4 3" xfId="3358"/>
    <cellStyle name="Normal 2 4 3 2" xfId="4832"/>
    <cellStyle name="Normal 2 4 4" xfId="3934"/>
    <cellStyle name="Normal 3" xfId="249"/>
    <cellStyle name="Normal 3 2" xfId="2089"/>
    <cellStyle name="Normal 3 3" xfId="2088"/>
    <cellStyle name="Normal 4" xfId="566"/>
    <cellStyle name="Normal 4 2" xfId="573"/>
    <cellStyle name="Normal 4 2 2" xfId="2350"/>
    <cellStyle name="Normal 4 2 3" xfId="2091"/>
    <cellStyle name="Normal 4 3" xfId="2349"/>
    <cellStyle name="Normal 4 4" xfId="2090"/>
    <cellStyle name="Normal 5" xfId="1"/>
    <cellStyle name="Normal 5 2" xfId="575"/>
    <cellStyle name="Normal 5 2 2" xfId="568"/>
    <cellStyle name="Normal 6" xfId="736"/>
    <cellStyle name="Normal 7" xfId="5136"/>
    <cellStyle name="Normal 8" xfId="564"/>
    <cellStyle name="Normalny_Arkusz1" xfId="250"/>
    <cellStyle name="Note 2" xfId="2092"/>
    <cellStyle name="Ø›ŽÅ [0]_06" xfId="2093"/>
    <cellStyle name="Ø›ŽÅ[0]_cashflow" xfId="2094"/>
    <cellStyle name="Ø›ŽÅ_06" xfId="2095"/>
    <cellStyle name="Ò»°ã_ˆó±í¸½±í" xfId="2096"/>
    <cellStyle name="ØÅ [0]_06" xfId="2097"/>
    <cellStyle name="ØÅ[0]_cashflow" xfId="2098"/>
    <cellStyle name="ØÅ_06" xfId="2099"/>
    <cellStyle name="Œ…‹æØ‚è [0.00]_Region Orders (2)" xfId="2100"/>
    <cellStyle name="Œ…‹æØ‚è_Region Orders (2)" xfId="2101"/>
    <cellStyle name="øFòé_BS9701-3" xfId="2102"/>
    <cellStyle name="øj‚¾?_BS9701-3" xfId="2103"/>
    <cellStyle name="ºó¼Ì³¬¼¶Á´½Ó" xfId="2104"/>
    <cellStyle name="Output 2" xfId="2105"/>
    <cellStyle name="Output Amounts" xfId="251"/>
    <cellStyle name="Output Line Items" xfId="252"/>
    <cellStyle name="per.style" xfId="253"/>
    <cellStyle name="Percent (0)" xfId="255"/>
    <cellStyle name="Percent [0]" xfId="256"/>
    <cellStyle name="Percent [00]" xfId="257"/>
    <cellStyle name="Percent [2]" xfId="258"/>
    <cellStyle name="Percent 2" xfId="722"/>
    <cellStyle name="Percent 2 2" xfId="2107"/>
    <cellStyle name="Percent 2 3" xfId="2106"/>
    <cellStyle name="Percent 3" xfId="2108"/>
    <cellStyle name="Percent 4" xfId="254"/>
    <cellStyle name="Percent 5" xfId="5138"/>
    <cellStyle name="PERCENTAGE" xfId="2109"/>
    <cellStyle name="Prefilled" xfId="259"/>
    <cellStyle name="Prefilled 2" xfId="379"/>
    <cellStyle name="Prefilled 2 2" xfId="628"/>
    <cellStyle name="Prefilled 2 2 2" xfId="2661"/>
    <cellStyle name="Prefilled 2 2 2 2" xfId="3454"/>
    <cellStyle name="Prefilled 2 2 2 2 2" xfId="4926"/>
    <cellStyle name="Prefilled 2 2 2 2 2 2" xfId="6746"/>
    <cellStyle name="Prefilled 2 2 2 2 3" xfId="5940"/>
    <cellStyle name="Prefilled 2 2 2 3" xfId="4158"/>
    <cellStyle name="Prefilled 2 2 2 3 2" xfId="6310"/>
    <cellStyle name="Prefilled 2 2 2 4" xfId="5447"/>
    <cellStyle name="Prefilled 2 2 3" xfId="2499"/>
    <cellStyle name="Prefilled 2 2 3 2" xfId="3997"/>
    <cellStyle name="Prefilled 2 2 3 2 2" xfId="6199"/>
    <cellStyle name="Prefilled 2 2 3 3" xfId="5328"/>
    <cellStyle name="Prefilled 2 2 4" xfId="3083"/>
    <cellStyle name="Prefilled 2 2 4 2" xfId="4557"/>
    <cellStyle name="Prefilled 2 2 4 2 2" xfId="6581"/>
    <cellStyle name="Prefilled 2 2 4 3" xfId="5760"/>
    <cellStyle name="Prefilled 2 2 5" xfId="3759"/>
    <cellStyle name="Prefilled 2 2 5 2" xfId="6090"/>
    <cellStyle name="Prefilled 2 2 6" xfId="5172"/>
    <cellStyle name="Prefilled 2 3" xfId="2303"/>
    <cellStyle name="Prefilled 2 3 2" xfId="2916"/>
    <cellStyle name="Prefilled 2 3 2 2" xfId="3565"/>
    <cellStyle name="Prefilled 2 3 2 2 2" xfId="5033"/>
    <cellStyle name="Prefilled 2 3 2 2 2 2" xfId="6795"/>
    <cellStyle name="Prefilled 2 3 2 2 3" xfId="6001"/>
    <cellStyle name="Prefilled 2 3 2 3" xfId="4402"/>
    <cellStyle name="Prefilled 2 3 2 3 2" xfId="6483"/>
    <cellStyle name="Prefilled 2 3 2 4" xfId="5640"/>
    <cellStyle name="Prefilled 2 3 3" xfId="3060"/>
    <cellStyle name="Prefilled 2 3 3 2" xfId="4534"/>
    <cellStyle name="Prefilled 2 3 3 2 2" xfId="6561"/>
    <cellStyle name="Prefilled 2 3 3 3" xfId="5738"/>
    <cellStyle name="Prefilled 2 3 4" xfId="2627"/>
    <cellStyle name="Prefilled 2 3 4 2" xfId="4124"/>
    <cellStyle name="Prefilled 2 3 4 2 2" xfId="6290"/>
    <cellStyle name="Prefilled 2 3 4 3" xfId="5424"/>
    <cellStyle name="Prefilled 2 3 5" xfId="3853"/>
    <cellStyle name="Prefilled 2 3 5 2" xfId="6129"/>
    <cellStyle name="Prefilled 2 3 6" xfId="5235"/>
    <cellStyle name="Prefilled 2 4" xfId="2552"/>
    <cellStyle name="Prefilled 2 4 2" xfId="3384"/>
    <cellStyle name="Prefilled 2 4 2 2" xfId="4858"/>
    <cellStyle name="Prefilled 2 4 2 2 2" xfId="6715"/>
    <cellStyle name="Prefilled 2 4 2 3" xfId="5904"/>
    <cellStyle name="Prefilled 2 4 3" xfId="4050"/>
    <cellStyle name="Prefilled 2 4 3 2" xfId="6244"/>
    <cellStyle name="Prefilled 2 4 4" xfId="5376"/>
    <cellStyle name="Prefilled 2 5" xfId="2858"/>
    <cellStyle name="Prefilled 2 5 2" xfId="4347"/>
    <cellStyle name="Prefilled 2 5 2 2" xfId="6451"/>
    <cellStyle name="Prefilled 2 5 3" xfId="5598"/>
    <cellStyle name="Prefilled 2 6" xfId="2809"/>
    <cellStyle name="Prefilled 2 6 2" xfId="4299"/>
    <cellStyle name="Prefilled 2 6 2 2" xfId="6408"/>
    <cellStyle name="Prefilled 2 6 3" xfId="5553"/>
    <cellStyle name="Prefilled 2 7" xfId="3207"/>
    <cellStyle name="Prefilled 2 7 2" xfId="4681"/>
    <cellStyle name="Prefilled 2 7 2 2" xfId="6681"/>
    <cellStyle name="Prefilled 2 7 3" xfId="5866"/>
    <cellStyle name="Prefilled 2 8" xfId="3698"/>
    <cellStyle name="Prefilled 2 8 2" xfId="6065"/>
    <cellStyle name="Prefilled 3" xfId="545"/>
    <cellStyle name="Prefilled 3 2" xfId="686"/>
    <cellStyle name="Prefilled 3 2 2" xfId="2431"/>
    <cellStyle name="Prefilled 3 2 2 2" xfId="3023"/>
    <cellStyle name="Prefilled 3 2 2 2 2" xfId="3657"/>
    <cellStyle name="Prefilled 3 2 2 2 2 2" xfId="5118"/>
    <cellStyle name="Prefilled 3 2 2 2 2 2 2" xfId="6834"/>
    <cellStyle name="Prefilled 3 2 2 2 2 3" xfId="6050"/>
    <cellStyle name="Prefilled 3 2 2 2 3" xfId="4499"/>
    <cellStyle name="Prefilled 3 2 2 2 3 2" xfId="6534"/>
    <cellStyle name="Prefilled 3 2 2 2 4" xfId="5708"/>
    <cellStyle name="Prefilled 3 2 2 3" xfId="3153"/>
    <cellStyle name="Prefilled 3 2 2 3 2" xfId="4627"/>
    <cellStyle name="Prefilled 3 2 2 3 2 2" xfId="6638"/>
    <cellStyle name="Prefilled 3 2 2 3 3" xfId="5823"/>
    <cellStyle name="Prefilled 3 2 2 4" xfId="2878"/>
    <cellStyle name="Prefilled 3 2 2 4 2" xfId="4367"/>
    <cellStyle name="Prefilled 3 2 2 4 2 2" xfId="6462"/>
    <cellStyle name="Prefilled 3 2 2 4 3" xfId="5611"/>
    <cellStyle name="Prefilled 3 2 2 5" xfId="3927"/>
    <cellStyle name="Prefilled 3 2 2 5 2" xfId="6156"/>
    <cellStyle name="Prefilled 3 2 2 6" xfId="5281"/>
    <cellStyle name="Prefilled 3 2 3" xfId="2697"/>
    <cellStyle name="Prefilled 3 2 3 2" xfId="3487"/>
    <cellStyle name="Prefilled 3 2 3 2 2" xfId="4957"/>
    <cellStyle name="Prefilled 3 2 3 2 2 2" xfId="6756"/>
    <cellStyle name="Prefilled 3 2 3 2 3" xfId="5953"/>
    <cellStyle name="Prefilled 3 2 3 3" xfId="4191"/>
    <cellStyle name="Prefilled 3 2 3 3 2" xfId="6324"/>
    <cellStyle name="Prefilled 3 2 3 4" xfId="5464"/>
    <cellStyle name="Prefilled 3 2 4" xfId="2465"/>
    <cellStyle name="Prefilled 3 2 4 2" xfId="3963"/>
    <cellStyle name="Prefilled 3 2 4 2 2" xfId="6173"/>
    <cellStyle name="Prefilled 3 2 4 3" xfId="5302"/>
    <cellStyle name="Prefilled 3 2 5" xfId="3170"/>
    <cellStyle name="Prefilled 3 2 5 2" xfId="4644"/>
    <cellStyle name="Prefilled 3 2 5 2 2" xfId="6655"/>
    <cellStyle name="Prefilled 3 2 5 3" xfId="5840"/>
    <cellStyle name="Prefilled 3 2 6" xfId="3785"/>
    <cellStyle name="Prefilled 3 2 6 2" xfId="6096"/>
    <cellStyle name="Prefilled 3 2 7" xfId="5188"/>
    <cellStyle name="Prefilled 3 3" xfId="2338"/>
    <cellStyle name="Prefilled 3 3 2" xfId="2937"/>
    <cellStyle name="Prefilled 3 3 2 2" xfId="3580"/>
    <cellStyle name="Prefilled 3 3 2 2 2" xfId="5048"/>
    <cellStyle name="Prefilled 3 3 2 2 2 2" xfId="6803"/>
    <cellStyle name="Prefilled 3 3 2 2 3" xfId="6010"/>
    <cellStyle name="Prefilled 3 3 2 3" xfId="4421"/>
    <cellStyle name="Prefilled 3 3 2 3 2" xfId="6495"/>
    <cellStyle name="Prefilled 3 3 2 4" xfId="5655"/>
    <cellStyle name="Prefilled 3 3 3" xfId="2753"/>
    <cellStyle name="Prefilled 3 3 3 2" xfId="4243"/>
    <cellStyle name="Prefilled 3 3 3 2 2" xfId="6355"/>
    <cellStyle name="Prefilled 3 3 3 3" xfId="5500"/>
    <cellStyle name="Prefilled 3 3 4" xfId="2539"/>
    <cellStyle name="Prefilled 3 3 4 2" xfId="4037"/>
    <cellStyle name="Prefilled 3 3 4 2 2" xfId="6233"/>
    <cellStyle name="Prefilled 3 3 4 3" xfId="5364"/>
    <cellStyle name="Prefilled 3 3 5" xfId="3866"/>
    <cellStyle name="Prefilled 3 3 5 2" xfId="6135"/>
    <cellStyle name="Prefilled 3 3 6" xfId="5242"/>
    <cellStyle name="Prefilled 3 4" xfId="2612"/>
    <cellStyle name="Prefilled 3 4 2" xfId="3416"/>
    <cellStyle name="Prefilled 3 4 2 2" xfId="4890"/>
    <cellStyle name="Prefilled 3 4 2 2 2" xfId="6727"/>
    <cellStyle name="Prefilled 3 4 2 3" xfId="5917"/>
    <cellStyle name="Prefilled 3 4 3" xfId="4110"/>
    <cellStyle name="Prefilled 3 4 3 2" xfId="6279"/>
    <cellStyle name="Prefilled 3 4 4" xfId="5412"/>
    <cellStyle name="Prefilled 3 5" xfId="2800"/>
    <cellStyle name="Prefilled 3 5 2" xfId="4290"/>
    <cellStyle name="Prefilled 3 5 2 2" xfId="6399"/>
    <cellStyle name="Prefilled 3 5 3" xfId="5544"/>
    <cellStyle name="Prefilled 3 6" xfId="2768"/>
    <cellStyle name="Prefilled 3 6 2" xfId="4258"/>
    <cellStyle name="Prefilled 3 6 2 2" xfId="6370"/>
    <cellStyle name="Prefilled 3 6 3" xfId="5515"/>
    <cellStyle name="Prefilled 3 7" xfId="3725"/>
    <cellStyle name="Prefilled 3 7 2" xfId="6072"/>
    <cellStyle name="Prefilled 3 8" xfId="5146"/>
    <cellStyle name="Prefilled 4" xfId="596"/>
    <cellStyle name="Prefilled 4 2" xfId="2646"/>
    <cellStyle name="Prefilled 4 2 2" xfId="3442"/>
    <cellStyle name="Prefilled 4 2 2 2" xfId="4915"/>
    <cellStyle name="Prefilled 4 2 2 2 2" xfId="6739"/>
    <cellStyle name="Prefilled 4 2 2 3" xfId="5931"/>
    <cellStyle name="Prefilled 4 2 3" xfId="4143"/>
    <cellStyle name="Prefilled 4 2 3 2" xfId="6299"/>
    <cellStyle name="Prefilled 4 2 4" xfId="5434"/>
    <cellStyle name="Prefilled 4 3" xfId="3133"/>
    <cellStyle name="Prefilled 4 3 2" xfId="4607"/>
    <cellStyle name="Prefilled 4 3 2 2" xfId="6626"/>
    <cellStyle name="Prefilled 4 3 3" xfId="5809"/>
    <cellStyle name="Prefilled 4 4" xfId="2458"/>
    <cellStyle name="Prefilled 4 4 2" xfId="3956"/>
    <cellStyle name="Prefilled 4 4 2 2" xfId="6166"/>
    <cellStyle name="Prefilled 4 4 3" xfId="5295"/>
    <cellStyle name="Prefilled 4 5" xfId="3749"/>
    <cellStyle name="Prefilled 4 5 2" xfId="6083"/>
    <cellStyle name="Prefilled 4 6" xfId="5163"/>
    <cellStyle name="Prefilled 5" xfId="711"/>
    <cellStyle name="Prefilled 5 2" xfId="2722"/>
    <cellStyle name="Prefilled 5 2 2" xfId="3509"/>
    <cellStyle name="Prefilled 5 2 2 2" xfId="4979"/>
    <cellStyle name="Prefilled 5 2 2 2 2" xfId="6769"/>
    <cellStyle name="Prefilled 5 2 2 3" xfId="5967"/>
    <cellStyle name="Prefilled 5 2 3" xfId="4213"/>
    <cellStyle name="Prefilled 5 2 3 2" xfId="6337"/>
    <cellStyle name="Prefilled 5 2 4" xfId="5478"/>
    <cellStyle name="Prefilled 5 3" xfId="2617"/>
    <cellStyle name="Prefilled 5 3 2" xfId="4115"/>
    <cellStyle name="Prefilled 5 3 2 2" xfId="6284"/>
    <cellStyle name="Prefilled 5 3 3" xfId="5417"/>
    <cellStyle name="Prefilled 5 4" xfId="2763"/>
    <cellStyle name="Prefilled 5 4 2" xfId="4253"/>
    <cellStyle name="Prefilled 5 4 2 2" xfId="6365"/>
    <cellStyle name="Prefilled 5 4 3" xfId="5510"/>
    <cellStyle name="Prefilled 5 5" xfId="3805"/>
    <cellStyle name="Prefilled 5 5 2" xfId="6107"/>
    <cellStyle name="Prefilled 5 6" xfId="5203"/>
    <cellStyle name="Prefilled 6" xfId="750"/>
    <cellStyle name="Prefilled 6 2" xfId="2745"/>
    <cellStyle name="Prefilled 6 2 2" xfId="3525"/>
    <cellStyle name="Prefilled 6 2 2 2" xfId="4995"/>
    <cellStyle name="Prefilled 6 2 2 2 2" xfId="6778"/>
    <cellStyle name="Prefilled 6 2 2 3" xfId="5978"/>
    <cellStyle name="Prefilled 6 2 3" xfId="4235"/>
    <cellStyle name="Prefilled 6 2 3 2" xfId="6351"/>
    <cellStyle name="Prefilled 6 2 4" xfId="5495"/>
    <cellStyle name="Prefilled 6 3" xfId="3047"/>
    <cellStyle name="Prefilled 6 3 2" xfId="4521"/>
    <cellStyle name="Prefilled 6 3 2 2" xfId="6549"/>
    <cellStyle name="Prefilled 6 3 3" xfId="5725"/>
    <cellStyle name="Prefilled 6 4" xfId="3162"/>
    <cellStyle name="Prefilled 6 4 2" xfId="4636"/>
    <cellStyle name="Prefilled 6 4 2 2" xfId="6647"/>
    <cellStyle name="Prefilled 6 4 3" xfId="5832"/>
    <cellStyle name="Prefilled 6 5" xfId="3820"/>
    <cellStyle name="Prefilled 6 5 2" xfId="6115"/>
    <cellStyle name="Prefilled 6 6" xfId="5213"/>
    <cellStyle name="Prefilled 7" xfId="3198"/>
    <cellStyle name="Prefilled 7 2" xfId="4672"/>
    <cellStyle name="Prefilled 7 2 2" xfId="6674"/>
    <cellStyle name="Prefilled 7 3" xfId="5859"/>
    <cellStyle name="PrePop Currency (0)" xfId="260"/>
    <cellStyle name="PrePop Currency (2)" xfId="261"/>
    <cellStyle name="PrePop Units (0)" xfId="262"/>
    <cellStyle name="PrePop Units (1)" xfId="263"/>
    <cellStyle name="PrePop Units (2)" xfId="264"/>
    <cellStyle name="price" xfId="265"/>
    <cellStyle name="Prozent_HP PLotter_open" xfId="266"/>
    <cellStyle name="PSChar" xfId="267"/>
    <cellStyle name="PSDate" xfId="2110"/>
    <cellStyle name="PSDec" xfId="2111"/>
    <cellStyle name="PSHeading" xfId="268"/>
    <cellStyle name="PSHeading 2" xfId="544"/>
    <cellStyle name="PSHeading 2 2" xfId="685"/>
    <cellStyle name="PSHeading 2 2 2" xfId="2696"/>
    <cellStyle name="PSHeading 2 3" xfId="2337"/>
    <cellStyle name="PSHeading 3" xfId="597"/>
    <cellStyle name="PSHeading 3 2" xfId="2294"/>
    <cellStyle name="PSHeading 4" xfId="751"/>
    <cellStyle name="PSInt" xfId="2112"/>
    <cellStyle name="PSSpacer" xfId="2113"/>
    <cellStyle name="regstoresfromspecstores" xfId="269"/>
    <cellStyle name="Resultat" xfId="2114"/>
    <cellStyle name="revised" xfId="270"/>
    <cellStyle name="RevList" xfId="271"/>
    <cellStyle name="Rubrik1" xfId="2115"/>
    <cellStyle name="Rubrik1 2" xfId="2375"/>
    <cellStyle name="Rubrik1 2 2" xfId="3607"/>
    <cellStyle name="Rubrik1 2 3" xfId="3319"/>
    <cellStyle name="Rubrik1 2 3 2" xfId="4793"/>
    <cellStyle name="Rubrik2" xfId="2116"/>
    <cellStyle name="Rubrik2 2" xfId="2376"/>
    <cellStyle name="Rubrik2 2 2" xfId="3608"/>
    <cellStyle name="Rubrik2 2 3" xfId="3320"/>
    <cellStyle name="Rubrik2 2 3 2" xfId="4794"/>
    <cellStyle name="Rubrik3" xfId="2117"/>
    <cellStyle name="Rubrik3 2" xfId="2377"/>
    <cellStyle name="Rubrik3 2 2" xfId="3609"/>
    <cellStyle name="Rubrik3 2 3" xfId="3321"/>
    <cellStyle name="Rubrik3 2 3 2" xfId="4795"/>
    <cellStyle name="section" xfId="272"/>
    <cellStyle name="SHADEDSTORES" xfId="273"/>
    <cellStyle name="SHADEDSTORES 2" xfId="380"/>
    <cellStyle name="SHADEDSTORES 2 2" xfId="629"/>
    <cellStyle name="SHADEDSTORES 2 2 2" xfId="2407"/>
    <cellStyle name="SHADEDSTORES 2 2 2 2" xfId="3000"/>
    <cellStyle name="SHADEDSTORES 2 2 2 2 2" xfId="3636"/>
    <cellStyle name="SHADEDSTORES 2 2 2 2 2 2" xfId="5098"/>
    <cellStyle name="SHADEDSTORES 2 2 2 2 2 3" xfId="6041"/>
    <cellStyle name="SHADEDSTORES 2 2 2 2 3" xfId="4478"/>
    <cellStyle name="SHADEDSTORES 2 2 2 2 4" xfId="5697"/>
    <cellStyle name="SHADEDSTORES 2 2 2 3" xfId="3142"/>
    <cellStyle name="SHADEDSTORES 2 2 2 3 2" xfId="4616"/>
    <cellStyle name="SHADEDSTORES 2 2 2 4" xfId="2457"/>
    <cellStyle name="SHADEDSTORES 2 2 2 4 2" xfId="3955"/>
    <cellStyle name="SHADEDSTORES 2 2 2 4 3" xfId="5294"/>
    <cellStyle name="SHADEDSTORES 2 2 2 5" xfId="3911"/>
    <cellStyle name="SHADEDSTORES 2 2 2 6" xfId="3948"/>
    <cellStyle name="SHADEDSTORES 2 2 2 7" xfId="5272"/>
    <cellStyle name="SHADEDSTORES 2 2 3" xfId="2662"/>
    <cellStyle name="SHADEDSTORES 2 2 3 2" xfId="3455"/>
    <cellStyle name="SHADEDSTORES 2 2 3 2 2" xfId="4927"/>
    <cellStyle name="SHADEDSTORES 2 2 3 2 3" xfId="5941"/>
    <cellStyle name="SHADEDSTORES 2 2 3 3" xfId="4159"/>
    <cellStyle name="SHADEDSTORES 2 2 3 4" xfId="5448"/>
    <cellStyle name="SHADEDSTORES 2 2 4" xfId="3145"/>
    <cellStyle name="SHADEDSTORES 2 2 4 2" xfId="4619"/>
    <cellStyle name="SHADEDSTORES 2 2 4 3" xfId="5817"/>
    <cellStyle name="SHADEDSTORES 2 2 5" xfId="3760"/>
    <cellStyle name="SHADEDSTORES 2 2 6" xfId="3685"/>
    <cellStyle name="SHADEDSTORES 2 2 7" xfId="5173"/>
    <cellStyle name="SHADEDSTORES 2 3" xfId="2304"/>
    <cellStyle name="SHADEDSTORES 2 3 2" xfId="2917"/>
    <cellStyle name="SHADEDSTORES 2 3 2 2" xfId="3566"/>
    <cellStyle name="SHADEDSTORES 2 3 2 2 2" xfId="5034"/>
    <cellStyle name="SHADEDSTORES 2 3 2 2 3" xfId="6002"/>
    <cellStyle name="SHADEDSTORES 2 3 2 3" xfId="4403"/>
    <cellStyle name="SHADEDSTORES 2 3 2 4" xfId="5641"/>
    <cellStyle name="SHADEDSTORES 2 3 3" xfId="2589"/>
    <cellStyle name="SHADEDSTORES 2 3 3 2" xfId="4087"/>
    <cellStyle name="SHADEDSTORES 2 3 4" xfId="3091"/>
    <cellStyle name="SHADEDSTORES 2 3 4 2" xfId="4565"/>
    <cellStyle name="SHADEDSTORES 2 3 4 3" xfId="5768"/>
    <cellStyle name="SHADEDSTORES 2 3 5" xfId="3854"/>
    <cellStyle name="SHADEDSTORES 2 3 6" xfId="3942"/>
    <cellStyle name="SHADEDSTORES 2 3 7" xfId="5236"/>
    <cellStyle name="SHADEDSTORES 2 4" xfId="2553"/>
    <cellStyle name="SHADEDSTORES 2 4 2" xfId="3385"/>
    <cellStyle name="SHADEDSTORES 2 4 2 2" xfId="4859"/>
    <cellStyle name="SHADEDSTORES 2 4 2 3" xfId="5905"/>
    <cellStyle name="SHADEDSTORES 2 4 3" xfId="4051"/>
    <cellStyle name="SHADEDSTORES 2 4 4" xfId="5377"/>
    <cellStyle name="SHADEDSTORES 2 5" xfId="2857"/>
    <cellStyle name="SHADEDSTORES 2 5 2" xfId="3538"/>
    <cellStyle name="SHADEDSTORES 2 5 2 2" xfId="5008"/>
    <cellStyle name="SHADEDSTORES 2 5 2 3" xfId="5987"/>
    <cellStyle name="SHADEDSTORES 2 5 3" xfId="4346"/>
    <cellStyle name="SHADEDSTORES 2 6" xfId="3208"/>
    <cellStyle name="SHADEDSTORES 2 6 2" xfId="4682"/>
    <cellStyle name="SHADEDSTORES 2 7" xfId="3699"/>
    <cellStyle name="SHADEDSTORES 3" xfId="598"/>
    <cellStyle name="SHADEDSTORES 3 2" xfId="2403"/>
    <cellStyle name="SHADEDSTORES 3 2 2" xfId="2996"/>
    <cellStyle name="SHADEDSTORES 3 2 2 2" xfId="3632"/>
    <cellStyle name="SHADEDSTORES 3 2 2 2 2" xfId="5094"/>
    <cellStyle name="SHADEDSTORES 3 2 2 2 3" xfId="6038"/>
    <cellStyle name="SHADEDSTORES 3 2 2 3" xfId="4474"/>
    <cellStyle name="SHADEDSTORES 3 2 2 4" xfId="5694"/>
    <cellStyle name="SHADEDSTORES 3 2 3" xfId="3139"/>
    <cellStyle name="SHADEDSTORES 3 2 3 2" xfId="4613"/>
    <cellStyle name="SHADEDSTORES 3 2 4" xfId="3146"/>
    <cellStyle name="SHADEDSTORES 3 2 4 2" xfId="4620"/>
    <cellStyle name="SHADEDSTORES 3 2 4 3" xfId="5818"/>
    <cellStyle name="SHADEDSTORES 3 2 5" xfId="3907"/>
    <cellStyle name="SHADEDSTORES 3 2 6" xfId="3946"/>
    <cellStyle name="SHADEDSTORES 3 2 7" xfId="5269"/>
    <cellStyle name="SHADEDSTORES 3 3" xfId="2295"/>
    <cellStyle name="SHADEDSTORES 3 3 2" xfId="2908"/>
    <cellStyle name="SHADEDSTORES 3 3 2 2" xfId="3558"/>
    <cellStyle name="SHADEDSTORES 3 3 2 2 2" xfId="5026"/>
    <cellStyle name="SHADEDSTORES 3 3 2 2 3" xfId="5994"/>
    <cellStyle name="SHADEDSTORES 3 3 2 3" xfId="4394"/>
    <cellStyle name="SHADEDSTORES 3 3 2 4" xfId="5632"/>
    <cellStyle name="SHADEDSTORES 3 3 3" xfId="2881"/>
    <cellStyle name="SHADEDSTORES 3 3 3 2" xfId="4370"/>
    <cellStyle name="SHADEDSTORES 3 3 4" xfId="3110"/>
    <cellStyle name="SHADEDSTORES 3 3 4 2" xfId="4584"/>
    <cellStyle name="SHADEDSTORES 3 3 4 3" xfId="5787"/>
    <cellStyle name="SHADEDSTORES 3 3 5" xfId="3846"/>
    <cellStyle name="SHADEDSTORES 3 3 6" xfId="3940"/>
    <cellStyle name="SHADEDSTORES 3 3 7" xfId="5228"/>
    <cellStyle name="SHADEDSTORES 3 4" xfId="2647"/>
    <cellStyle name="SHADEDSTORES 3 4 2" xfId="3443"/>
    <cellStyle name="SHADEDSTORES 3 4 2 2" xfId="4916"/>
    <cellStyle name="SHADEDSTORES 3 4 2 3" xfId="5932"/>
    <cellStyle name="SHADEDSTORES 3 4 3" xfId="4144"/>
    <cellStyle name="SHADEDSTORES 3 4 4" xfId="5435"/>
    <cellStyle name="SHADEDSTORES 3 5" xfId="3132"/>
    <cellStyle name="SHADEDSTORES 3 5 2" xfId="4606"/>
    <cellStyle name="SHADEDSTORES 3 5 3" xfId="5808"/>
    <cellStyle name="SHADEDSTORES 3 6" xfId="3750"/>
    <cellStyle name="SHADEDSTORES 3 7" xfId="3688"/>
    <cellStyle name="SHADEDSTORES 3 8" xfId="5164"/>
    <cellStyle name="SHADEDSTORES 4" xfId="712"/>
    <cellStyle name="SHADEDSTORES 4 2" xfId="2360"/>
    <cellStyle name="SHADEDSTORES 4 2 2" xfId="2956"/>
    <cellStyle name="SHADEDSTORES 4 2 2 2" xfId="3592"/>
    <cellStyle name="SHADEDSTORES 4 2 2 2 2" xfId="5060"/>
    <cellStyle name="SHADEDSTORES 4 2 2 2 3" xfId="6020"/>
    <cellStyle name="SHADEDSTORES 4 2 2 3" xfId="4438"/>
    <cellStyle name="SHADEDSTORES 4 2 2 4" xfId="5672"/>
    <cellStyle name="SHADEDSTORES 4 2 3" xfId="2480"/>
    <cellStyle name="SHADEDSTORES 4 2 3 2" xfId="3978"/>
    <cellStyle name="SHADEDSTORES 4 2 4" xfId="2812"/>
    <cellStyle name="SHADEDSTORES 4 2 4 2" xfId="4302"/>
    <cellStyle name="SHADEDSTORES 4 2 4 3" xfId="5556"/>
    <cellStyle name="SHADEDSTORES 4 2 5" xfId="3877"/>
    <cellStyle name="SHADEDSTORES 4 2 6" xfId="3944"/>
    <cellStyle name="SHADEDSTORES 4 2 7" xfId="5252"/>
    <cellStyle name="SHADEDSTORES 4 3" xfId="2723"/>
    <cellStyle name="SHADEDSTORES 4 3 2" xfId="3510"/>
    <cellStyle name="SHADEDSTORES 4 3 2 2" xfId="4980"/>
    <cellStyle name="SHADEDSTORES 4 3 2 3" xfId="5968"/>
    <cellStyle name="SHADEDSTORES 4 3 3" xfId="4214"/>
    <cellStyle name="SHADEDSTORES 4 3 4" xfId="5479"/>
    <cellStyle name="SHADEDSTORES 4 4" xfId="2822"/>
    <cellStyle name="SHADEDSTORES 4 4 2" xfId="4312"/>
    <cellStyle name="SHADEDSTORES 4 4 3" xfId="5565"/>
    <cellStyle name="SHADEDSTORES 4 5" xfId="3806"/>
    <cellStyle name="SHADEDSTORES 4 6" xfId="3677"/>
    <cellStyle name="SHADEDSTORES 4 7" xfId="5204"/>
    <cellStyle name="SHADEDSTORES 5" xfId="752"/>
    <cellStyle name="SHADEDSTORES 5 2" xfId="2746"/>
    <cellStyle name="SHADEDSTORES 5 2 2" xfId="3526"/>
    <cellStyle name="SHADEDSTORES 5 2 2 2" xfId="4996"/>
    <cellStyle name="SHADEDSTORES 5 2 2 3" xfId="5979"/>
    <cellStyle name="SHADEDSTORES 5 2 3" xfId="4236"/>
    <cellStyle name="SHADEDSTORES 5 2 4" xfId="5496"/>
    <cellStyle name="SHADEDSTORES 5 3" xfId="2883"/>
    <cellStyle name="SHADEDSTORES 5 3 2" xfId="4372"/>
    <cellStyle name="SHADEDSTORES 5 4" xfId="2879"/>
    <cellStyle name="SHADEDSTORES 5 4 2" xfId="4368"/>
    <cellStyle name="SHADEDSTORES 5 4 3" xfId="5612"/>
    <cellStyle name="SHADEDSTORES 5 5" xfId="3821"/>
    <cellStyle name="SHADEDSTORES 5 6" xfId="3707"/>
    <cellStyle name="SHADEDSTORES 5 7" xfId="5214"/>
    <cellStyle name="SHADEDSTORES 6" xfId="2516"/>
    <cellStyle name="SHADEDSTORES 6 2" xfId="3368"/>
    <cellStyle name="SHADEDSTORES 6 2 2" xfId="4842"/>
    <cellStyle name="SHADEDSTORES 6 2 3" xfId="5889"/>
    <cellStyle name="SHADEDSTORES 6 3" xfId="4014"/>
    <cellStyle name="SHADEDSTORES 6 4" xfId="5344"/>
    <cellStyle name="SHADEDSTORES 7" xfId="2877"/>
    <cellStyle name="SHADEDSTORES 7 2" xfId="4366"/>
    <cellStyle name="SHADEDSTORES 8" xfId="3689"/>
    <cellStyle name="SOR" xfId="274"/>
    <cellStyle name="SOR 2" xfId="506"/>
    <cellStyle name="SOR 3" xfId="518"/>
    <cellStyle name="SOR 4" xfId="529"/>
    <cellStyle name="specstores" xfId="275"/>
    <cellStyle name="Standard_AB_20neu" xfId="2118"/>
    <cellStyle name="style" xfId="276"/>
    <cellStyle name="Style 1" xfId="277"/>
    <cellStyle name="style 10" xfId="2369"/>
    <cellStyle name="style 10 2" xfId="2965"/>
    <cellStyle name="style 10 2 2" xfId="3601"/>
    <cellStyle name="style 10 2 2 2" xfId="5068"/>
    <cellStyle name="style 10 2 2 2 2" xfId="6816"/>
    <cellStyle name="style 10 2 2 3" xfId="6026"/>
    <cellStyle name="style 10 2 3" xfId="4445"/>
    <cellStyle name="style 10 2 3 2" xfId="6512"/>
    <cellStyle name="style 10 2 4" xfId="5678"/>
    <cellStyle name="style 10 3" xfId="3078"/>
    <cellStyle name="style 10 3 2" xfId="4552"/>
    <cellStyle name="style 10 3 2 2" xfId="6577"/>
    <cellStyle name="style 10 3 3" xfId="5755"/>
    <cellStyle name="style 10 4" xfId="2573"/>
    <cellStyle name="style 10 4 2" xfId="4071"/>
    <cellStyle name="style 10 4 2 2" xfId="6257"/>
    <cellStyle name="style 10 4 3" xfId="5390"/>
    <cellStyle name="style 10 5" xfId="3884"/>
    <cellStyle name="style 10 5 2" xfId="6145"/>
    <cellStyle name="style 10 6" xfId="5257"/>
    <cellStyle name="style 11" xfId="753"/>
    <cellStyle name="style 11 2" xfId="2747"/>
    <cellStyle name="style 11 2 2" xfId="3527"/>
    <cellStyle name="style 11 2 2 2" xfId="4997"/>
    <cellStyle name="style 11 2 2 2 2" xfId="6779"/>
    <cellStyle name="style 11 2 2 3" xfId="5980"/>
    <cellStyle name="style 11 2 3" xfId="4237"/>
    <cellStyle name="style 11 2 3 2" xfId="6352"/>
    <cellStyle name="style 11 2 4" xfId="5497"/>
    <cellStyle name="style 11 3" xfId="2604"/>
    <cellStyle name="style 11 3 2" xfId="4102"/>
    <cellStyle name="style 11 3 2 2" xfId="6273"/>
    <cellStyle name="style 11 3 3" xfId="5406"/>
    <cellStyle name="style 11 4" xfId="2600"/>
    <cellStyle name="style 11 4 2" xfId="4098"/>
    <cellStyle name="style 11 4 2 2" xfId="6272"/>
    <cellStyle name="style 11 4 3" xfId="5405"/>
    <cellStyle name="style 11 5" xfId="3822"/>
    <cellStyle name="style 11 5 2" xfId="6116"/>
    <cellStyle name="style 11 6" xfId="5215"/>
    <cellStyle name="style 12" xfId="749"/>
    <cellStyle name="style 12 2" xfId="2744"/>
    <cellStyle name="style 12 2 2" xfId="3524"/>
    <cellStyle name="style 12 2 2 2" xfId="4994"/>
    <cellStyle name="style 12 2 2 2 2" xfId="6777"/>
    <cellStyle name="style 12 2 2 3" xfId="5977"/>
    <cellStyle name="style 12 2 3" xfId="4234"/>
    <cellStyle name="style 12 2 3 2" xfId="6350"/>
    <cellStyle name="style 12 2 4" xfId="5494"/>
    <cellStyle name="style 12 3" xfId="2771"/>
    <cellStyle name="style 12 3 2" xfId="4261"/>
    <cellStyle name="style 12 3 2 2" xfId="6373"/>
    <cellStyle name="style 12 3 3" xfId="5518"/>
    <cellStyle name="style 12 4" xfId="3041"/>
    <cellStyle name="style 12 4 2" xfId="4515"/>
    <cellStyle name="style 12 4 2 2" xfId="6543"/>
    <cellStyle name="style 12 4 3" xfId="5719"/>
    <cellStyle name="style 12 5" xfId="3819"/>
    <cellStyle name="style 12 5 2" xfId="6114"/>
    <cellStyle name="style 12 6" xfId="5212"/>
    <cellStyle name="style 13" xfId="2517"/>
    <cellStyle name="style 13 2" xfId="3369"/>
    <cellStyle name="style 13 2 2" xfId="4843"/>
    <cellStyle name="style 13 2 2 2" xfId="6703"/>
    <cellStyle name="style 13 2 3" xfId="5890"/>
    <cellStyle name="style 13 3" xfId="4015"/>
    <cellStyle name="style 13 3 2" xfId="6214"/>
    <cellStyle name="style 13 4" xfId="5345"/>
    <cellStyle name="style 14" xfId="2533"/>
    <cellStyle name="style 14 2" xfId="3372"/>
    <cellStyle name="style 14 2 2" xfId="4846"/>
    <cellStyle name="style 14 2 2 2" xfId="6704"/>
    <cellStyle name="style 14 2 3" xfId="5892"/>
    <cellStyle name="style 14 3" xfId="4031"/>
    <cellStyle name="style 14 3 2" xfId="6227"/>
    <cellStyle name="style 14 4" xfId="5358"/>
    <cellStyle name="style 15" xfId="2483"/>
    <cellStyle name="style 15 2" xfId="3981"/>
    <cellStyle name="style 15 2 2" xfId="6188"/>
    <cellStyle name="style 15 3" xfId="5317"/>
    <cellStyle name="style 16" xfId="2839"/>
    <cellStyle name="style 16 2" xfId="4328"/>
    <cellStyle name="style 16 2 2" xfId="6434"/>
    <cellStyle name="style 16 3" xfId="5581"/>
    <cellStyle name="style 17" xfId="2894"/>
    <cellStyle name="style 17 2" xfId="4380"/>
    <cellStyle name="style 17 2 2" xfId="6471"/>
    <cellStyle name="style 17 3" xfId="5624"/>
    <cellStyle name="style 18" xfId="2498"/>
    <cellStyle name="style 18 2" xfId="3996"/>
    <cellStyle name="style 18 2 2" xfId="6198"/>
    <cellStyle name="style 18 3" xfId="5327"/>
    <cellStyle name="style 19" xfId="3199"/>
    <cellStyle name="style 19 2" xfId="4673"/>
    <cellStyle name="style 19 2 2" xfId="6675"/>
    <cellStyle name="style 19 3" xfId="5860"/>
    <cellStyle name="Style 2" xfId="278"/>
    <cellStyle name="style 20" xfId="3690"/>
    <cellStyle name="style 20 2" xfId="6059"/>
    <cellStyle name="style 21" xfId="3719"/>
    <cellStyle name="style 21 2" xfId="6070"/>
    <cellStyle name="Style 3" xfId="279"/>
    <cellStyle name="style 4" xfId="381"/>
    <cellStyle name="style 4 2" xfId="630"/>
    <cellStyle name="style 4 2 2" xfId="2663"/>
    <cellStyle name="style 4 2 2 2" xfId="3456"/>
    <cellStyle name="style 4 2 2 2 2" xfId="4928"/>
    <cellStyle name="style 4 2 2 2 2 2" xfId="6747"/>
    <cellStyle name="style 4 2 2 2 3" xfId="5942"/>
    <cellStyle name="style 4 2 2 3" xfId="4160"/>
    <cellStyle name="style 4 2 2 3 2" xfId="6311"/>
    <cellStyle name="style 4 2 2 4" xfId="5449"/>
    <cellStyle name="style 4 2 3" xfId="3093"/>
    <cellStyle name="style 4 2 3 2" xfId="4567"/>
    <cellStyle name="style 4 2 3 2 2" xfId="6590"/>
    <cellStyle name="style 4 2 3 3" xfId="5770"/>
    <cellStyle name="style 4 2 4" xfId="2556"/>
    <cellStyle name="style 4 2 4 2" xfId="4054"/>
    <cellStyle name="style 4 2 4 2 2" xfId="6246"/>
    <cellStyle name="style 4 2 4 3" xfId="5379"/>
    <cellStyle name="style 4 2 5" xfId="3761"/>
    <cellStyle name="style 4 2 5 2" xfId="6091"/>
    <cellStyle name="style 4 2 6" xfId="5174"/>
    <cellStyle name="style 4 3" xfId="2305"/>
    <cellStyle name="style 4 3 2" xfId="2918"/>
    <cellStyle name="style 4 3 2 2" xfId="3567"/>
    <cellStyle name="style 4 3 2 2 2" xfId="5035"/>
    <cellStyle name="style 4 3 2 2 2 2" xfId="6796"/>
    <cellStyle name="style 4 3 2 2 3" xfId="6003"/>
    <cellStyle name="style 4 3 2 3" xfId="4404"/>
    <cellStyle name="style 4 3 2 3 2" xfId="6484"/>
    <cellStyle name="style 4 3 2 4" xfId="5642"/>
    <cellStyle name="style 4 3 3" xfId="2824"/>
    <cellStyle name="style 4 3 3 2" xfId="4313"/>
    <cellStyle name="style 4 3 3 2 2" xfId="6419"/>
    <cellStyle name="style 4 3 3 3" xfId="5566"/>
    <cellStyle name="style 4 3 4" xfId="2511"/>
    <cellStyle name="style 4 3 4 2" xfId="4009"/>
    <cellStyle name="style 4 3 4 2 2" xfId="6210"/>
    <cellStyle name="style 4 3 4 3" xfId="5340"/>
    <cellStyle name="style 4 3 5" xfId="3855"/>
    <cellStyle name="style 4 3 5 2" xfId="6130"/>
    <cellStyle name="style 4 3 6" xfId="5237"/>
    <cellStyle name="style 4 4" xfId="2554"/>
    <cellStyle name="style 4 4 2" xfId="3386"/>
    <cellStyle name="style 4 4 2 2" xfId="4860"/>
    <cellStyle name="style 4 4 2 2 2" xfId="6716"/>
    <cellStyle name="style 4 4 2 3" xfId="5906"/>
    <cellStyle name="style 4 4 3" xfId="4052"/>
    <cellStyle name="style 4 4 3 2" xfId="6245"/>
    <cellStyle name="style 4 4 4" xfId="5378"/>
    <cellStyle name="style 4 5" xfId="2856"/>
    <cellStyle name="style 4 5 2" xfId="4345"/>
    <cellStyle name="style 4 5 2 2" xfId="6450"/>
    <cellStyle name="style 4 5 3" xfId="5597"/>
    <cellStyle name="style 4 6" xfId="3077"/>
    <cellStyle name="style 4 6 2" xfId="4551"/>
    <cellStyle name="style 4 6 2 2" xfId="6576"/>
    <cellStyle name="style 4 6 3" xfId="5754"/>
    <cellStyle name="style 4 7" xfId="3209"/>
    <cellStyle name="style 4 7 2" xfId="4683"/>
    <cellStyle name="style 4 7 2 2" xfId="6682"/>
    <cellStyle name="style 4 7 3" xfId="5867"/>
    <cellStyle name="style 4 8" xfId="3700"/>
    <cellStyle name="style 4 8 2" xfId="6066"/>
    <cellStyle name="style 5" xfId="445"/>
    <cellStyle name="style 5 2" xfId="671"/>
    <cellStyle name="style 5 2 2" xfId="2684"/>
    <cellStyle name="style 5 2 2 2" xfId="3474"/>
    <cellStyle name="style 5 2 2 2 2" xfId="4945"/>
    <cellStyle name="style 5 2 2 2 2 2" xfId="6751"/>
    <cellStyle name="style 5 2 2 2 3" xfId="5947"/>
    <cellStyle name="style 5 2 2 3" xfId="4180"/>
    <cellStyle name="style 5 2 2 3 2" xfId="6319"/>
    <cellStyle name="style 5 2 2 4" xfId="5458"/>
    <cellStyle name="style 5 2 3" xfId="2932"/>
    <cellStyle name="style 5 2 3 2" xfId="4416"/>
    <cellStyle name="style 5 2 3 2 2" xfId="6491"/>
    <cellStyle name="style 5 2 3 3" xfId="5651"/>
    <cellStyle name="style 5 2 4" xfId="2844"/>
    <cellStyle name="style 5 2 4 2" xfId="4333"/>
    <cellStyle name="style 5 2 4 2 2" xfId="6439"/>
    <cellStyle name="style 5 2 4 3" xfId="5586"/>
    <cellStyle name="style 5 2 5" xfId="3776"/>
    <cellStyle name="style 5 2 5 2" xfId="6093"/>
    <cellStyle name="style 5 2 6" xfId="5181"/>
    <cellStyle name="style 5 3" xfId="2314"/>
    <cellStyle name="style 5 3 2" xfId="2925"/>
    <cellStyle name="style 5 3 2 2" xfId="3573"/>
    <cellStyle name="style 5 3 2 2 2" xfId="5041"/>
    <cellStyle name="style 5 3 2 2 2 2" xfId="6799"/>
    <cellStyle name="style 5 3 2 2 3" xfId="6006"/>
    <cellStyle name="style 5 3 2 3" xfId="4410"/>
    <cellStyle name="style 5 3 2 3 2" xfId="6487"/>
    <cellStyle name="style 5 3 2 4" xfId="5646"/>
    <cellStyle name="style 5 3 3" xfId="3061"/>
    <cellStyle name="style 5 3 3 2" xfId="4535"/>
    <cellStyle name="style 5 3 3 2 2" xfId="6562"/>
    <cellStyle name="style 5 3 3 3" xfId="5739"/>
    <cellStyle name="style 5 3 4" xfId="3104"/>
    <cellStyle name="style 5 3 4 2" xfId="4578"/>
    <cellStyle name="style 5 3 4 2 2" xfId="6601"/>
    <cellStyle name="style 5 3 4 3" xfId="5781"/>
    <cellStyle name="style 5 3 5" xfId="3860"/>
    <cellStyle name="style 5 3 5 2" xfId="6132"/>
    <cellStyle name="style 5 3 6" xfId="5239"/>
    <cellStyle name="style 5 4" xfId="2581"/>
    <cellStyle name="style 5 4 2" xfId="3405"/>
    <cellStyle name="style 5 4 2 2" xfId="4879"/>
    <cellStyle name="style 5 4 2 2 2" xfId="6723"/>
    <cellStyle name="style 5 4 2 3" xfId="5913"/>
    <cellStyle name="style 5 4 3" xfId="4079"/>
    <cellStyle name="style 5 4 3 2" xfId="6258"/>
    <cellStyle name="style 5 4 4" xfId="5391"/>
    <cellStyle name="style 5 5" xfId="2510"/>
    <cellStyle name="style 5 5 2" xfId="4008"/>
    <cellStyle name="style 5 5 2 2" xfId="6209"/>
    <cellStyle name="style 5 5 3" xfId="5339"/>
    <cellStyle name="style 5 6" xfId="2502"/>
    <cellStyle name="style 5 6 2" xfId="4000"/>
    <cellStyle name="style 5 6 2 2" xfId="6202"/>
    <cellStyle name="style 5 6 3" xfId="5331"/>
    <cellStyle name="style 5 7" xfId="3223"/>
    <cellStyle name="style 5 7 2" xfId="4697"/>
    <cellStyle name="style 5 7 2 2" xfId="6684"/>
    <cellStyle name="style 5 7 3" xfId="5869"/>
    <cellStyle name="style 5 8" xfId="3715"/>
    <cellStyle name="style 5 8 2" xfId="6068"/>
    <cellStyle name="style 6" xfId="551"/>
    <cellStyle name="style 6 2" xfId="692"/>
    <cellStyle name="style 6 2 2" xfId="2703"/>
    <cellStyle name="style 6 2 2 2" xfId="3490"/>
    <cellStyle name="style 6 2 2 2 2" xfId="4960"/>
    <cellStyle name="style 6 2 2 2 2 2" xfId="6759"/>
    <cellStyle name="style 6 2 2 2 3" xfId="5956"/>
    <cellStyle name="style 6 2 2 3" xfId="4194"/>
    <cellStyle name="style 6 2 2 3 2" xfId="6327"/>
    <cellStyle name="style 6 2 2 4" xfId="5467"/>
    <cellStyle name="style 6 2 3" xfId="2864"/>
    <cellStyle name="style 6 2 3 2" xfId="4353"/>
    <cellStyle name="style 6 2 3 2 2" xfId="6457"/>
    <cellStyle name="style 6 2 3 3" xfId="5604"/>
    <cellStyle name="style 6 2 4" xfId="3184"/>
    <cellStyle name="style 6 2 4 2" xfId="4658"/>
    <cellStyle name="style 6 2 4 2 2" xfId="6666"/>
    <cellStyle name="style 6 2 4 3" xfId="5851"/>
    <cellStyle name="style 6 2 5" xfId="3788"/>
    <cellStyle name="style 6 2 5 2" xfId="6099"/>
    <cellStyle name="style 6 2 6" xfId="5191"/>
    <cellStyle name="style 6 3" xfId="2344"/>
    <cellStyle name="style 6 3 2" xfId="2941"/>
    <cellStyle name="style 6 3 2 2" xfId="3583"/>
    <cellStyle name="style 6 3 2 2 2" xfId="5051"/>
    <cellStyle name="style 6 3 2 2 2 2" xfId="6806"/>
    <cellStyle name="style 6 3 2 2 3" xfId="6013"/>
    <cellStyle name="style 6 3 2 3" xfId="4425"/>
    <cellStyle name="style 6 3 2 3 2" xfId="6499"/>
    <cellStyle name="style 6 3 2 4" xfId="5659"/>
    <cellStyle name="style 6 3 3" xfId="3055"/>
    <cellStyle name="style 6 3 3 2" xfId="4529"/>
    <cellStyle name="style 6 3 3 2 2" xfId="6557"/>
    <cellStyle name="style 6 3 3 3" xfId="5733"/>
    <cellStyle name="style 6 3 4" xfId="2464"/>
    <cellStyle name="style 6 3 4 2" xfId="3962"/>
    <cellStyle name="style 6 3 4 2 2" xfId="6172"/>
    <cellStyle name="style 6 3 4 3" xfId="5301"/>
    <cellStyle name="style 6 3 5" xfId="3870"/>
    <cellStyle name="style 6 3 5 2" xfId="6138"/>
    <cellStyle name="style 6 3 6" xfId="5245"/>
    <cellStyle name="style 6 4" xfId="2616"/>
    <cellStyle name="style 6 4 2" xfId="3419"/>
    <cellStyle name="style 6 4 2 2" xfId="4893"/>
    <cellStyle name="style 6 4 2 2 2" xfId="6730"/>
    <cellStyle name="style 6 4 2 3" xfId="5920"/>
    <cellStyle name="style 6 4 3" xfId="4114"/>
    <cellStyle name="style 6 4 3 2" xfId="6283"/>
    <cellStyle name="style 6 4 4" xfId="5416"/>
    <cellStyle name="style 6 5" xfId="2503"/>
    <cellStyle name="style 6 5 2" xfId="4001"/>
    <cellStyle name="style 6 5 2 2" xfId="6203"/>
    <cellStyle name="style 6 5 3" xfId="5332"/>
    <cellStyle name="style 6 6" xfId="2546"/>
    <cellStyle name="style 6 6 2" xfId="4044"/>
    <cellStyle name="style 6 6 2 2" xfId="6239"/>
    <cellStyle name="style 6 6 3" xfId="5370"/>
    <cellStyle name="style 6 7" xfId="3231"/>
    <cellStyle name="style 6 7 2" xfId="4705"/>
    <cellStyle name="style 6 7 2 2" xfId="6686"/>
    <cellStyle name="style 6 7 3" xfId="5871"/>
    <cellStyle name="style 6 8" xfId="3728"/>
    <cellStyle name="style 6 8 2" xfId="6075"/>
    <cellStyle name="style 7" xfId="543"/>
    <cellStyle name="style 7 2" xfId="684"/>
    <cellStyle name="style 7 2 2" xfId="2430"/>
    <cellStyle name="style 7 2 2 2" xfId="3022"/>
    <cellStyle name="style 7 2 2 2 2" xfId="3656"/>
    <cellStyle name="style 7 2 2 2 2 2" xfId="5117"/>
    <cellStyle name="style 7 2 2 2 2 2 2" xfId="6833"/>
    <cellStyle name="style 7 2 2 2 2 3" xfId="6049"/>
    <cellStyle name="style 7 2 2 2 3" xfId="4498"/>
    <cellStyle name="style 7 2 2 2 3 2" xfId="6533"/>
    <cellStyle name="style 7 2 2 2 4" xfId="5707"/>
    <cellStyle name="style 7 2 2 3" xfId="3152"/>
    <cellStyle name="style 7 2 2 3 2" xfId="4626"/>
    <cellStyle name="style 7 2 2 3 2 2" xfId="6637"/>
    <cellStyle name="style 7 2 2 3 3" xfId="5822"/>
    <cellStyle name="style 7 2 2 4" xfId="3181"/>
    <cellStyle name="style 7 2 2 4 2" xfId="4655"/>
    <cellStyle name="style 7 2 2 4 2 2" xfId="6665"/>
    <cellStyle name="style 7 2 2 4 3" xfId="5850"/>
    <cellStyle name="style 7 2 2 5" xfId="3926"/>
    <cellStyle name="style 7 2 2 5 2" xfId="6155"/>
    <cellStyle name="style 7 2 2 6" xfId="5280"/>
    <cellStyle name="style 7 2 3" xfId="2695"/>
    <cellStyle name="style 7 2 3 2" xfId="3486"/>
    <cellStyle name="style 7 2 3 2 2" xfId="4956"/>
    <cellStyle name="style 7 2 3 2 2 2" xfId="6755"/>
    <cellStyle name="style 7 2 3 2 3" xfId="5952"/>
    <cellStyle name="style 7 2 3 3" xfId="4190"/>
    <cellStyle name="style 7 2 3 3 2" xfId="6323"/>
    <cellStyle name="style 7 2 3 4" xfId="5463"/>
    <cellStyle name="style 7 2 4" xfId="2784"/>
    <cellStyle name="style 7 2 4 2" xfId="4274"/>
    <cellStyle name="style 7 2 4 2 2" xfId="6386"/>
    <cellStyle name="style 7 2 4 3" xfId="5531"/>
    <cellStyle name="style 7 2 5" xfId="3169"/>
    <cellStyle name="style 7 2 5 2" xfId="4643"/>
    <cellStyle name="style 7 2 5 2 2" xfId="6654"/>
    <cellStyle name="style 7 2 5 3" xfId="5839"/>
    <cellStyle name="style 7 2 6" xfId="3784"/>
    <cellStyle name="style 7 2 6 2" xfId="6095"/>
    <cellStyle name="style 7 2 7" xfId="5187"/>
    <cellStyle name="style 7 3" xfId="2336"/>
    <cellStyle name="style 7 3 2" xfId="2936"/>
    <cellStyle name="style 7 3 2 2" xfId="3579"/>
    <cellStyle name="style 7 3 2 2 2" xfId="5047"/>
    <cellStyle name="style 7 3 2 2 2 2" xfId="6802"/>
    <cellStyle name="style 7 3 2 2 3" xfId="6009"/>
    <cellStyle name="style 7 3 2 3" xfId="4420"/>
    <cellStyle name="style 7 3 2 3 2" xfId="6494"/>
    <cellStyle name="style 7 3 2 4" xfId="5654"/>
    <cellStyle name="style 7 3 3" xfId="3058"/>
    <cellStyle name="style 7 3 3 2" xfId="4532"/>
    <cellStyle name="style 7 3 3 2 2" xfId="6559"/>
    <cellStyle name="style 7 3 3 3" xfId="5736"/>
    <cellStyle name="style 7 3 4" xfId="3067"/>
    <cellStyle name="style 7 3 4 2" xfId="4541"/>
    <cellStyle name="style 7 3 4 2 2" xfId="6567"/>
    <cellStyle name="style 7 3 4 3" xfId="5745"/>
    <cellStyle name="style 7 3 5" xfId="3865"/>
    <cellStyle name="style 7 3 5 2" xfId="6134"/>
    <cellStyle name="style 7 3 6" xfId="5241"/>
    <cellStyle name="style 7 4" xfId="2611"/>
    <cellStyle name="style 7 4 2" xfId="3415"/>
    <cellStyle name="style 7 4 2 2" xfId="4889"/>
    <cellStyle name="style 7 4 2 2 2" xfId="6726"/>
    <cellStyle name="style 7 4 2 3" xfId="5916"/>
    <cellStyle name="style 7 4 3" xfId="4109"/>
    <cellStyle name="style 7 4 3 2" xfId="6278"/>
    <cellStyle name="style 7 4 4" xfId="5411"/>
    <cellStyle name="style 7 5" xfId="2801"/>
    <cellStyle name="style 7 5 2" xfId="4291"/>
    <cellStyle name="style 7 5 2 2" xfId="6400"/>
    <cellStyle name="style 7 5 3" xfId="5545"/>
    <cellStyle name="style 7 6" xfId="2769"/>
    <cellStyle name="style 7 6 2" xfId="4259"/>
    <cellStyle name="style 7 6 2 2" xfId="6371"/>
    <cellStyle name="style 7 6 3" xfId="5516"/>
    <cellStyle name="style 7 7" xfId="3724"/>
    <cellStyle name="style 7 7 2" xfId="6071"/>
    <cellStyle name="style 7 8" xfId="5145"/>
    <cellStyle name="style 8" xfId="599"/>
    <cellStyle name="style 8 2" xfId="2361"/>
    <cellStyle name="style 8 2 2" xfId="2957"/>
    <cellStyle name="style 8 2 2 2" xfId="3593"/>
    <cellStyle name="style 8 2 2 2 2" xfId="5061"/>
    <cellStyle name="style 8 2 2 2 2 2" xfId="6812"/>
    <cellStyle name="style 8 2 2 2 3" xfId="6021"/>
    <cellStyle name="style 8 2 2 3" xfId="4439"/>
    <cellStyle name="style 8 2 2 3 2" xfId="6509"/>
    <cellStyle name="style 8 2 2 4" xfId="5673"/>
    <cellStyle name="style 8 2 3" xfId="3102"/>
    <cellStyle name="style 8 2 3 2" xfId="4576"/>
    <cellStyle name="style 8 2 3 2 2" xfId="6599"/>
    <cellStyle name="style 8 2 3 3" xfId="5779"/>
    <cellStyle name="style 8 2 4" xfId="2949"/>
    <cellStyle name="style 8 2 4 2" xfId="4432"/>
    <cellStyle name="style 8 2 4 2 2" xfId="6506"/>
    <cellStyle name="style 8 2 4 3" xfId="5667"/>
    <cellStyle name="style 8 2 5" xfId="3878"/>
    <cellStyle name="style 8 2 5 2" xfId="6142"/>
    <cellStyle name="style 8 2 6" xfId="5253"/>
    <cellStyle name="style 8 3" xfId="2648"/>
    <cellStyle name="style 8 3 2" xfId="3444"/>
    <cellStyle name="style 8 3 2 2" xfId="4917"/>
    <cellStyle name="style 8 3 2 2 2" xfId="6740"/>
    <cellStyle name="style 8 3 2 3" xfId="5933"/>
    <cellStyle name="style 8 3 3" xfId="4145"/>
    <cellStyle name="style 8 3 3 2" xfId="6300"/>
    <cellStyle name="style 8 3 4" xfId="5436"/>
    <cellStyle name="style 8 4" xfId="2796"/>
    <cellStyle name="style 8 4 2" xfId="4286"/>
    <cellStyle name="style 8 4 2 2" xfId="6395"/>
    <cellStyle name="style 8 4 3" xfId="5540"/>
    <cellStyle name="style 8 5" xfId="2474"/>
    <cellStyle name="style 8 5 2" xfId="3972"/>
    <cellStyle name="style 8 5 2 2" xfId="6180"/>
    <cellStyle name="style 8 5 3" xfId="5309"/>
    <cellStyle name="style 8 6" xfId="3751"/>
    <cellStyle name="style 8 6 2" xfId="6084"/>
    <cellStyle name="style 8 7" xfId="5165"/>
    <cellStyle name="style 9" xfId="713"/>
    <cellStyle name="style 9 2" xfId="2362"/>
    <cellStyle name="style 9 2 2" xfId="2958"/>
    <cellStyle name="style 9 2 2 2" xfId="3594"/>
    <cellStyle name="style 9 2 2 2 2" xfId="5062"/>
    <cellStyle name="style 9 2 2 2 2 2" xfId="6813"/>
    <cellStyle name="style 9 2 2 2 3" xfId="6022"/>
    <cellStyle name="style 9 2 2 3" xfId="4440"/>
    <cellStyle name="style 9 2 2 3 2" xfId="6510"/>
    <cellStyle name="style 9 2 2 4" xfId="5674"/>
    <cellStyle name="style 9 2 3" xfId="2808"/>
    <cellStyle name="style 9 2 3 2" xfId="4298"/>
    <cellStyle name="style 9 2 3 2 2" xfId="6407"/>
    <cellStyle name="style 9 2 3 3" xfId="5552"/>
    <cellStyle name="style 9 2 4" xfId="2829"/>
    <cellStyle name="style 9 2 4 2" xfId="4318"/>
    <cellStyle name="style 9 2 4 2 2" xfId="6424"/>
    <cellStyle name="style 9 2 4 3" xfId="5571"/>
    <cellStyle name="style 9 2 5" xfId="3879"/>
    <cellStyle name="style 9 2 5 2" xfId="6143"/>
    <cellStyle name="style 9 2 6" xfId="5254"/>
    <cellStyle name="style 9 3" xfId="2724"/>
    <cellStyle name="style 9 3 2" xfId="3511"/>
    <cellStyle name="style 9 3 2 2" xfId="4981"/>
    <cellStyle name="style 9 3 2 2 2" xfId="6770"/>
    <cellStyle name="style 9 3 2 3" xfId="5969"/>
    <cellStyle name="style 9 3 3" xfId="4215"/>
    <cellStyle name="style 9 3 3 2" xfId="6338"/>
    <cellStyle name="style 9 3 4" xfId="5480"/>
    <cellStyle name="style 9 4" xfId="3124"/>
    <cellStyle name="style 9 4 2" xfId="4598"/>
    <cellStyle name="style 9 4 2 2" xfId="6619"/>
    <cellStyle name="style 9 4 3" xfId="5800"/>
    <cellStyle name="style 9 5" xfId="3135"/>
    <cellStyle name="style 9 5 2" xfId="4609"/>
    <cellStyle name="style 9 5 2 2" xfId="6628"/>
    <cellStyle name="style 9 5 3" xfId="5811"/>
    <cellStyle name="style 9 6" xfId="3807"/>
    <cellStyle name="style 9 6 2" xfId="6108"/>
    <cellStyle name="style 9 7" xfId="5205"/>
    <cellStyle name="style1" xfId="280"/>
    <cellStyle name="style2" xfId="281"/>
    <cellStyle name="subhead" xfId="282"/>
    <cellStyle name="Subtotal" xfId="283"/>
    <cellStyle name="Summa" xfId="2119"/>
    <cellStyle name="Summa 2" xfId="2378"/>
    <cellStyle name="Summa 2 2" xfId="3610"/>
    <cellStyle name="Summa 2 3" xfId="3322"/>
    <cellStyle name="Summa 2 3 2" xfId="4796"/>
    <cellStyle name="t]_x000d__x000a_color schemes=默认 Windows_x000d__x000a__x000d__x000a_[color schemes]_x000d__x000a_Arizona=804000,FFFFFF,FFFFFF,0,FFFFFF,0,808040,C0C0C0,FFFFF" xfId="284"/>
    <cellStyle name="Tal" xfId="2120"/>
    <cellStyle name="Text" xfId="2121"/>
    <cellStyle name="Text Indent A" xfId="285"/>
    <cellStyle name="Text Indent B" xfId="286"/>
    <cellStyle name="Text Indent C" xfId="287"/>
    <cellStyle name="Textrubrik" xfId="2122"/>
    <cellStyle name="thick" xfId="2123"/>
    <cellStyle name="Tickmark" xfId="288"/>
    <cellStyle name="Times New Roman" xfId="2124"/>
    <cellStyle name="Title 2" xfId="2125"/>
    <cellStyle name="Total 2" xfId="2126"/>
    <cellStyle name="Tusental (0)_encl-13" xfId="2127"/>
    <cellStyle name="Tusental_1-KLASS" xfId="2128"/>
    <cellStyle name="Undefiniert" xfId="289"/>
    <cellStyle name="v" xfId="2129"/>
    <cellStyle name="Valuta (0)_encl-13" xfId="2130"/>
    <cellStyle name="Valuta [0]_RESULTS" xfId="290"/>
    <cellStyle name="Valuta_1-KLASS" xfId="2131"/>
    <cellStyle name="Währung [0]_AB_20neu" xfId="2132"/>
    <cellStyle name="Wahrung [0]_RESULTS" xfId="291"/>
    <cellStyle name="Währung_AB_20neu" xfId="2133"/>
    <cellStyle name="Wahrung_RESULTS" xfId="292"/>
    <cellStyle name="Warning Text 2" xfId="2134"/>
    <cellStyle name="wrap" xfId="293"/>
    <cellStyle name="パーセント_laroux" xfId="294"/>
    <cellStyle name="_11011" xfId="2262"/>
    <cellStyle name="瘉EMMC-CP1" xfId="2261"/>
    <cellStyle name="? [0.00]_guyan" xfId="2263"/>
    <cellStyle name="?_guyan" xfId="2264"/>
    <cellStyle name="_Total (2)" xfId="295"/>
    <cellStyle name="だ[0]_BS9701-3" xfId="2265"/>
    <cellStyle name="だ_BS9701-3" xfId="2266"/>
    <cellStyle name="だ[0]_Total (2)" xfId="296"/>
    <cellStyle name="だ_Total (2)" xfId="297"/>
    <cellStyle name="む|靃0]_Revenuesy Lr L" xfId="298"/>
    <cellStyle name="む|靇Revenuenuesy L" xfId="299"/>
    <cellStyle name="む|靇Revenuenuesy L 2" xfId="446"/>
    <cellStyle name="む|靇Revenuenuesy L 2 2" xfId="672"/>
    <cellStyle name="む|靇Revenuenuesy L 2 2 2" xfId="2685"/>
    <cellStyle name="む|靇Revenuenuesy L 2 2 2 2" xfId="3475"/>
    <cellStyle name="む|靇Revenuenuesy L 2 2 2 2 2" xfId="4946"/>
    <cellStyle name="む|靇Revenuenuesy L 2 2 2 3" xfId="4181"/>
    <cellStyle name="む|靇Revenuenuesy L 2 2 3" xfId="3263"/>
    <cellStyle name="む|靇Revenuenuesy L 2 2 3 2" xfId="4737"/>
    <cellStyle name="む|靇Revenuenuesy L 2 2 4" xfId="3777"/>
    <cellStyle name="む|靇Revenuenuesy L 2 3" xfId="2582"/>
    <cellStyle name="む|靇Revenuenuesy L 2 3 2" xfId="3406"/>
    <cellStyle name="む|靇Revenuenuesy L 2 3 2 2" xfId="4880"/>
    <cellStyle name="む|靇Revenuenuesy L 2 3 3" xfId="4080"/>
    <cellStyle name="む|靇Revenuenuesy L 2 4" xfId="3224"/>
    <cellStyle name="む|靇Revenuenuesy L 2 4 2" xfId="4698"/>
    <cellStyle name="む|靇Revenuenuesy L 2 5" xfId="3716"/>
    <cellStyle name="む|靇Revenuenuesy L 3" xfId="600"/>
    <cellStyle name="む|靇Revenuenuesy L 3 2" xfId="2404"/>
    <cellStyle name="む|靇Revenuenuesy L 3 2 2" xfId="2997"/>
    <cellStyle name="む|靇Revenuenuesy L 3 2 2 2" xfId="3633"/>
    <cellStyle name="む|靇Revenuenuesy L 3 2 2 2 2" xfId="5095"/>
    <cellStyle name="む|靇Revenuenuesy L 3 2 2 3" xfId="4475"/>
    <cellStyle name="む|靇Revenuenuesy L 3 2 3" xfId="3338"/>
    <cellStyle name="む|靇Revenuenuesy L 3 2 3 2" xfId="4812"/>
    <cellStyle name="む|靇Revenuenuesy L 3 2 4" xfId="3908"/>
    <cellStyle name="む|靇Revenuenuesy L 3 3" xfId="2649"/>
    <cellStyle name="む|靇Revenuenuesy L 3 3 2" xfId="3445"/>
    <cellStyle name="む|靇Revenuenuesy L 3 3 2 2" xfId="4918"/>
    <cellStyle name="む|靇Revenuenuesy L 3 3 3" xfId="4146"/>
    <cellStyle name="む|靇Revenuenuesy L 3 4" xfId="3245"/>
    <cellStyle name="む|靇Revenuenuesy L 3 4 2" xfId="4719"/>
    <cellStyle name="む|靇Revenuenuesy L 3 5" xfId="3752"/>
    <cellStyle name="む|靇Revenuenuesy L 4" xfId="714"/>
    <cellStyle name="む|靇Revenuenuesy L 4 2" xfId="2725"/>
    <cellStyle name="む|靇Revenuenuesy L 4 2 2" xfId="3512"/>
    <cellStyle name="む|靇Revenuenuesy L 4 2 2 2" xfId="4982"/>
    <cellStyle name="む|靇Revenuenuesy L 4 2 3" xfId="4216"/>
    <cellStyle name="む|靇Revenuenuesy L 4 3" xfId="3280"/>
    <cellStyle name="む|靇Revenuenuesy L 4 3 2" xfId="4754"/>
    <cellStyle name="む|靇Revenuenuesy L 4 4" xfId="3808"/>
    <cellStyle name="む|靇Revenuenuesy L 5" xfId="2522"/>
    <cellStyle name="む|靇Revenuenuesy L 5 2" xfId="3371"/>
    <cellStyle name="む|靇Revenuenuesy L 5 2 2" xfId="4845"/>
    <cellStyle name="む|靇Revenuenuesy L 5 3" xfId="4020"/>
    <cellStyle name="む|靇Revenuenuesy L 6" xfId="3200"/>
    <cellStyle name="む|靇Revenuenuesy L 6 2" xfId="4674"/>
    <cellStyle name="む|靇Revenuenuesy L 7" xfId="3691"/>
    <cellStyle name="?_Fem.Pro" xfId="2267"/>
    <cellStyle name="籵_96SNPCOS" xfId="2268"/>
    <cellStyle name="弇[0]_DF1" xfId="2269"/>
    <cellStyle name="弇_DF1" xfId="2270"/>
    <cellStyle name="弇煦路[0]_1" xfId="2271"/>
    <cellStyle name="弇煦路_1" xfId="2272"/>
    <cellStyle name="煦弇[0]_96.12(彶劃)" xfId="2273"/>
    <cellStyle name="煦弇_96.12(彶劃)" xfId="2274"/>
    <cellStyle name="一般 10" xfId="2135"/>
    <cellStyle name="一般 11" xfId="2136"/>
    <cellStyle name="一般 12" xfId="415"/>
    <cellStyle name="一般 12 2" xfId="2284"/>
    <cellStyle name="一般 12 3" xfId="2137"/>
    <cellStyle name="一般 13" xfId="2138"/>
    <cellStyle name="一般 14" xfId="2139"/>
    <cellStyle name="一般 15" xfId="771"/>
    <cellStyle name="一般 16" xfId="770"/>
    <cellStyle name="一般 17" xfId="2277"/>
    <cellStyle name="一般 18" xfId="3188"/>
    <cellStyle name="一般 18 2" xfId="4662"/>
    <cellStyle name="一般 19" xfId="5135"/>
    <cellStyle name="一般 2" xfId="300"/>
    <cellStyle name="一般 2 2" xfId="301"/>
    <cellStyle name="一般 2 2 2" xfId="383"/>
    <cellStyle name="一般 2 2 2 2" xfId="632"/>
    <cellStyle name="一般 2 2 2 3" xfId="733"/>
    <cellStyle name="一般 2 2 2 4" xfId="2141"/>
    <cellStyle name="一般 2 2 3" xfId="448"/>
    <cellStyle name="一般 2 3" xfId="382"/>
    <cellStyle name="一般 2 3 2" xfId="631"/>
    <cellStyle name="一般 2 3 3" xfId="730"/>
    <cellStyle name="一般 2 3 4" xfId="2142"/>
    <cellStyle name="一般 2 4" xfId="447"/>
    <cellStyle name="一般 2 4 2" xfId="2315"/>
    <cellStyle name="一般 2 4 3" xfId="2143"/>
    <cellStyle name="一般 2 5" xfId="452"/>
    <cellStyle name="一般 2 5 2" xfId="2316"/>
    <cellStyle name="一般 2 5 3" xfId="2144"/>
    <cellStyle name="一般 2 6" xfId="578"/>
    <cellStyle name="一般 2 6 2" xfId="2352"/>
    <cellStyle name="一般 2 6 3" xfId="2140"/>
    <cellStyle name="一般 2 7" xfId="757"/>
    <cellStyle name="一般 2_AW_WEC_2011_jdsaff" xfId="2145"/>
    <cellStyle name="一般 3" xfId="412"/>
    <cellStyle name="一般 3 10" xfId="3212"/>
    <cellStyle name="一般 3 10 2" xfId="4686"/>
    <cellStyle name="一般 3 11" xfId="3703"/>
    <cellStyle name="一般 3 2" xfId="477"/>
    <cellStyle name="一般 3 2 2" xfId="2147"/>
    <cellStyle name="一般 3 2 3" xfId="2320"/>
    <cellStyle name="一般 3 2 4" xfId="765"/>
    <cellStyle name="一般 3 2 5" xfId="2448"/>
    <cellStyle name="一般 3 2 5 2" xfId="3036"/>
    <cellStyle name="一般 3 2 5 2 2" xfId="3670"/>
    <cellStyle name="一般 3 2 5 2 2 2" xfId="5130"/>
    <cellStyle name="一般 3 2 5 2 3" xfId="4510"/>
    <cellStyle name="一般 3 2 5 3" xfId="3359"/>
    <cellStyle name="一般 3 2 5 3 2" xfId="4833"/>
    <cellStyle name="一般 3 2 5 4" xfId="3935"/>
    <cellStyle name="一般 3 3" xfId="565"/>
    <cellStyle name="一般 3 3 2" xfId="2348"/>
    <cellStyle name="一般 3 3 3" xfId="2146"/>
    <cellStyle name="一般 3 4" xfId="579"/>
    <cellStyle name="一般 3 4 2" xfId="2353"/>
    <cellStyle name="一般 3 4 3" xfId="2391"/>
    <cellStyle name="一般 3 4 3 2" xfId="2985"/>
    <cellStyle name="一般 3 4 3 2 2" xfId="3622"/>
    <cellStyle name="一般 3 4 3 2 2 2" xfId="5084"/>
    <cellStyle name="一般 3 4 3 2 3" xfId="4463"/>
    <cellStyle name="一般 3 4 3 3" xfId="3329"/>
    <cellStyle name="一般 3 4 3 3 2" xfId="4803"/>
    <cellStyle name="一般 3 4 3 4" xfId="3897"/>
    <cellStyle name="一般 3 4 4" xfId="2281"/>
    <cellStyle name="一般 3 4 4 2" xfId="2900"/>
    <cellStyle name="一般 3 4 4 2 2" xfId="3551"/>
    <cellStyle name="一般 3 4 4 2 2 2" xfId="5020"/>
    <cellStyle name="一般 3 4 4 2 3" xfId="4386"/>
    <cellStyle name="一般 3 4 4 3" xfId="3297"/>
    <cellStyle name="一般 3 4 4 3 2" xfId="4771"/>
    <cellStyle name="一般 3 4 4 4" xfId="3839"/>
    <cellStyle name="一般 3 5" xfId="660"/>
    <cellStyle name="一般 3 5 2" xfId="2416"/>
    <cellStyle name="一般 3 5 2 2" xfId="3009"/>
    <cellStyle name="一般 3 5 2 2 2" xfId="3644"/>
    <cellStyle name="一般 3 5 2 2 2 2" xfId="5105"/>
    <cellStyle name="一般 3 5 2 2 3" xfId="4485"/>
    <cellStyle name="一般 3 5 2 3" xfId="3343"/>
    <cellStyle name="一般 3 5 2 3 2" xfId="4817"/>
    <cellStyle name="一般 3 5 2 4" xfId="3915"/>
    <cellStyle name="一般 3 5 3" xfId="2309"/>
    <cellStyle name="一般 3 5 3 2" xfId="2921"/>
    <cellStyle name="一般 3 5 3 2 2" xfId="3570"/>
    <cellStyle name="一般 3 5 3 2 2 2" xfId="5038"/>
    <cellStyle name="一般 3 5 3 2 3" xfId="4406"/>
    <cellStyle name="一般 3 5 3 3" xfId="3305"/>
    <cellStyle name="一般 3 5 3 3 2" xfId="4779"/>
    <cellStyle name="一般 3 5 3 4" xfId="3857"/>
    <cellStyle name="一般 3 5 4" xfId="2673"/>
    <cellStyle name="一般 3 5 4 2" xfId="3463"/>
    <cellStyle name="一般 3 5 4 2 2" xfId="4934"/>
    <cellStyle name="一般 3 5 4 3" xfId="4169"/>
    <cellStyle name="一般 3 5 5" xfId="3252"/>
    <cellStyle name="一般 3 5 5 2" xfId="4726"/>
    <cellStyle name="一般 3 5 6" xfId="3765"/>
    <cellStyle name="一般 3 6" xfId="416"/>
    <cellStyle name="一般 3 7" xfId="724"/>
    <cellStyle name="一般 3 8" xfId="759"/>
    <cellStyle name="一般 3 9" xfId="2567"/>
    <cellStyle name="一般 3 9 2" xfId="3394"/>
    <cellStyle name="一般 3 9 2 2" xfId="4868"/>
    <cellStyle name="一般 3 9 3" xfId="4065"/>
    <cellStyle name="一般 3_A-I001-091231" xfId="2148"/>
    <cellStyle name="一般 31" xfId="417"/>
    <cellStyle name="一般 4" xfId="410"/>
    <cellStyle name="一般 4 2" xfId="510"/>
    <cellStyle name="一般 4 2 2" xfId="2150"/>
    <cellStyle name="一般 4 2 3" xfId="2331"/>
    <cellStyle name="一般 4 2 4" xfId="766"/>
    <cellStyle name="一般 4 3" xfId="523"/>
    <cellStyle name="一般 4 3 2" xfId="2334"/>
    <cellStyle name="一般 4 3 3" xfId="2149"/>
    <cellStyle name="一般 4 4" xfId="532"/>
    <cellStyle name="一般 4 5" xfId="480"/>
    <cellStyle name="一般 4 6" xfId="570"/>
    <cellStyle name="一般 4 7" xfId="2308"/>
    <cellStyle name="一般 4 8" xfId="760"/>
    <cellStyle name="一般 5" xfId="487"/>
    <cellStyle name="一般 5 2" xfId="767"/>
    <cellStyle name="一般 5 2 2" xfId="2151"/>
    <cellStyle name="一般 5 3" xfId="2322"/>
    <cellStyle name="一般 5 4" xfId="761"/>
    <cellStyle name="一般 6" xfId="495"/>
    <cellStyle name="一般 6 2" xfId="681"/>
    <cellStyle name="一般 6 2 2" xfId="2152"/>
    <cellStyle name="一般 6 2 3" xfId="768"/>
    <cellStyle name="一般 6 2 4" xfId="2692"/>
    <cellStyle name="一般 6 2 4 2" xfId="3483"/>
    <cellStyle name="一般 6 2 4 2 2" xfId="4953"/>
    <cellStyle name="一般 6 2 4 3" xfId="4187"/>
    <cellStyle name="一般 6 2 5" xfId="3268"/>
    <cellStyle name="一般 6 2 5 2" xfId="4742"/>
    <cellStyle name="一般 6 2 6" xfId="3781"/>
    <cellStyle name="一般 6 3" xfId="2324"/>
    <cellStyle name="一般 6 3 2" xfId="2426"/>
    <cellStyle name="一般 6 3 2 2" xfId="3018"/>
    <cellStyle name="一般 6 3 2 2 2" xfId="3652"/>
    <cellStyle name="一般 6 3 2 2 2 2" xfId="5113"/>
    <cellStyle name="一般 6 3 2 2 3" xfId="4494"/>
    <cellStyle name="一般 6 3 2 3" xfId="3351"/>
    <cellStyle name="一般 6 3 2 3 2" xfId="4825"/>
    <cellStyle name="一般 6 3 2 4" xfId="3923"/>
    <cellStyle name="一般 6 3 3" xfId="2930"/>
    <cellStyle name="一般 6 3 3 2" xfId="3576"/>
    <cellStyle name="一般 6 3 3 2 2" xfId="5044"/>
    <cellStyle name="一般 6 3 3 3" xfId="4414"/>
    <cellStyle name="一般 6 3 4" xfId="3309"/>
    <cellStyle name="一般 6 3 4 2" xfId="4783"/>
    <cellStyle name="一般 6 3 5" xfId="3862"/>
    <cellStyle name="一般 6 4" xfId="762"/>
    <cellStyle name="一般 6 5" xfId="2602"/>
    <cellStyle name="一般 6 5 2" xfId="3411"/>
    <cellStyle name="一般 6 5 2 2" xfId="4885"/>
    <cellStyle name="一般 6 5 3" xfId="4100"/>
    <cellStyle name="一般 6 6" xfId="3228"/>
    <cellStyle name="一般 6 6 2" xfId="4702"/>
    <cellStyle name="一般 6 7" xfId="3721"/>
    <cellStyle name="一般 7" xfId="475"/>
    <cellStyle name="一般 7 2" xfId="2153"/>
    <cellStyle name="一般 7 3" xfId="2319"/>
    <cellStyle name="一般 7 4" xfId="763"/>
    <cellStyle name="一般 8" xfId="2154"/>
    <cellStyle name="一般 8 2" xfId="2446"/>
    <cellStyle name="一般 9" xfId="2155"/>
    <cellStyle name="一般_1501" xfId="302"/>
    <cellStyle name="千分位 [0]" xfId="2156"/>
    <cellStyle name="千分位 10" xfId="2157"/>
    <cellStyle name="千分位 11" xfId="2158"/>
    <cellStyle name="千分位 11 2" xfId="2379"/>
    <cellStyle name="千分位 11 2 2" xfId="2973"/>
    <cellStyle name="千分位 11 2 2 2" xfId="3611"/>
    <cellStyle name="千分位 11 2 2 2 2" xfId="5074"/>
    <cellStyle name="千分位 11 2 2 3" xfId="4453"/>
    <cellStyle name="千分位 11 2 3" xfId="3323"/>
    <cellStyle name="千分位 11 2 3 2" xfId="4797"/>
    <cellStyle name="千分位 11 2 4" xfId="3890"/>
    <cellStyle name="千分位 11 3" xfId="2865"/>
    <cellStyle name="千分位 11 3 2" xfId="3539"/>
    <cellStyle name="千分位 11 3 2 2" xfId="5009"/>
    <cellStyle name="千分位 11 3 3" xfId="4354"/>
    <cellStyle name="千分位 11 4" xfId="3290"/>
    <cellStyle name="千分位 11 4 2" xfId="4764"/>
    <cellStyle name="千分位 11 5" xfId="3832"/>
    <cellStyle name="千分位 12" xfId="2159"/>
    <cellStyle name="千分位 12 2" xfId="2380"/>
    <cellStyle name="千分位 12 2 2" xfId="2974"/>
    <cellStyle name="千分位 12 2 2 2" xfId="3612"/>
    <cellStyle name="千分位 12 2 2 2 2" xfId="5075"/>
    <cellStyle name="千分位 12 2 2 3" xfId="4454"/>
    <cellStyle name="千分位 12 2 3" xfId="3324"/>
    <cellStyle name="千分位 12 2 3 2" xfId="4798"/>
    <cellStyle name="千分位 12 2 4" xfId="3891"/>
    <cellStyle name="千分位 12 3" xfId="2866"/>
    <cellStyle name="千分位 12 3 2" xfId="3540"/>
    <cellStyle name="千分位 12 3 2 2" xfId="5010"/>
    <cellStyle name="千分位 12 3 3" xfId="4355"/>
    <cellStyle name="千分位 12 4" xfId="3291"/>
    <cellStyle name="千分位 12 4 2" xfId="4765"/>
    <cellStyle name="千分位 12 5" xfId="3833"/>
    <cellStyle name="千分位 13" xfId="728"/>
    <cellStyle name="千分位 13 2" xfId="769"/>
    <cellStyle name="千分位 14" xfId="2275"/>
    <cellStyle name="千分位 15" xfId="2276"/>
    <cellStyle name="千分位 16" xfId="2278"/>
    <cellStyle name="千分位 17" xfId="2286"/>
    <cellStyle name="千分位 17 2" xfId="2395"/>
    <cellStyle name="千分位 17 2 2" xfId="2989"/>
    <cellStyle name="千分位 17 2 2 2" xfId="3626"/>
    <cellStyle name="千分位 17 2 2 2 2" xfId="5088"/>
    <cellStyle name="千分位 17 2 2 3" xfId="4467"/>
    <cellStyle name="千分位 17 2 3" xfId="3333"/>
    <cellStyle name="千分位 17 2 3 2" xfId="4807"/>
    <cellStyle name="千分位 17 2 4" xfId="3901"/>
    <cellStyle name="千分位 17 3" xfId="2903"/>
    <cellStyle name="千分位 17 3 2" xfId="3555"/>
    <cellStyle name="千分位 17 3 2 2" xfId="5023"/>
    <cellStyle name="千分位 17 3 3" xfId="4389"/>
    <cellStyle name="千分位 17 4" xfId="3301"/>
    <cellStyle name="千分位 17 4 2" xfId="4775"/>
    <cellStyle name="千分位 17 5" xfId="3842"/>
    <cellStyle name="千分位 18" xfId="2289"/>
    <cellStyle name="千分位 18 2" xfId="2401"/>
    <cellStyle name="千分位 18 2 2" xfId="2994"/>
    <cellStyle name="千分位 18 2 2 2" xfId="3630"/>
    <cellStyle name="千分位 18 2 2 2 2" xfId="5092"/>
    <cellStyle name="千分位 18 2 2 3" xfId="4472"/>
    <cellStyle name="千分位 18 2 3" xfId="3337"/>
    <cellStyle name="千分位 18 2 3 2" xfId="4811"/>
    <cellStyle name="千分位 18 2 4" xfId="3905"/>
    <cellStyle name="千分位 18 3" xfId="2905"/>
    <cellStyle name="千分位 18 3 2" xfId="3556"/>
    <cellStyle name="千分位 18 3 2 2" xfId="5024"/>
    <cellStyle name="千分位 18 3 3" xfId="4391"/>
    <cellStyle name="千分位 18 4" xfId="3302"/>
    <cellStyle name="千分位 18 4 2" xfId="4776"/>
    <cellStyle name="千分位 18 5" xfId="3843"/>
    <cellStyle name="千分位 19" xfId="2358"/>
    <cellStyle name="千分位 19 2" xfId="2954"/>
    <cellStyle name="千分位 19 2 2" xfId="3590"/>
    <cellStyle name="千分位 19 2 2 2" xfId="5058"/>
    <cellStyle name="千分位 19 2 3" xfId="4436"/>
    <cellStyle name="千分位 19 3" xfId="3314"/>
    <cellStyle name="千分位 19 3 2" xfId="4788"/>
    <cellStyle name="千分位 19 4" xfId="3875"/>
    <cellStyle name="千分位 2" xfId="303"/>
    <cellStyle name="千分位 2 2" xfId="304"/>
    <cellStyle name="千分位 2 2 2" xfId="385"/>
    <cellStyle name="千分位 2 2 2 2" xfId="508"/>
    <cellStyle name="千分位 2 2 2 3" xfId="634"/>
    <cellStyle name="千分位 2 2 2 4" xfId="2160"/>
    <cellStyle name="千分位 2 2 3" xfId="520"/>
    <cellStyle name="千分位 2 2 4" xfId="531"/>
    <cellStyle name="千分位 2 2 5" xfId="450"/>
    <cellStyle name="千分位 2 3" xfId="384"/>
    <cellStyle name="千分位 2 3 2" xfId="507"/>
    <cellStyle name="千分位 2 3 3" xfId="633"/>
    <cellStyle name="千分位 2 3 4" xfId="734"/>
    <cellStyle name="千分位 2 3 5" xfId="758"/>
    <cellStyle name="千分位 2 4" xfId="519"/>
    <cellStyle name="千分位 2 5" xfId="530"/>
    <cellStyle name="千分位 2 6" xfId="449"/>
    <cellStyle name="千分位 2 7" xfId="444"/>
    <cellStyle name="千分位 2 7 2" xfId="582"/>
    <cellStyle name="千分位 2 7 2 2" xfId="2634"/>
    <cellStyle name="千分位 2 7 2 2 2" xfId="3431"/>
    <cellStyle name="千分位 2 7 2 2 2 2" xfId="4904"/>
    <cellStyle name="千分位 2 7 2 2 3" xfId="4131"/>
    <cellStyle name="千分位 2 7 2 3" xfId="3239"/>
    <cellStyle name="千分位 2 7 2 3 2" xfId="4713"/>
    <cellStyle name="千分位 2 7 2 4" xfId="3738"/>
    <cellStyle name="千分位 2 7 3" xfId="670"/>
    <cellStyle name="千分位 2 7 3 2" xfId="2683"/>
    <cellStyle name="千分位 2 7 3 2 2" xfId="3473"/>
    <cellStyle name="千分位 2 7 3 2 2 2" xfId="4944"/>
    <cellStyle name="千分位 2 7 3 2 3" xfId="4179"/>
    <cellStyle name="千分位 2 7 3 3" xfId="3262"/>
    <cellStyle name="千分位 2 7 3 3 2" xfId="4736"/>
    <cellStyle name="千分位 2 7 3 4" xfId="3775"/>
    <cellStyle name="千分位 2 7 4" xfId="2580"/>
    <cellStyle name="千分位 2 7 4 2" xfId="3404"/>
    <cellStyle name="千分位 2 7 4 2 2" xfId="4878"/>
    <cellStyle name="千分位 2 7 4 3" xfId="4078"/>
    <cellStyle name="千分位 2 7 5" xfId="3222"/>
    <cellStyle name="千分位 2 7 5 2" xfId="4696"/>
    <cellStyle name="千分位 2 7 6" xfId="3714"/>
    <cellStyle name="千分位 2 8" xfId="2449"/>
    <cellStyle name="千分位 2 8 2" xfId="3037"/>
    <cellStyle name="千分位 2 8 2 2" xfId="3671"/>
    <cellStyle name="千分位 2 8 2 2 2" xfId="5131"/>
    <cellStyle name="千分位 2 8 2 3" xfId="4511"/>
    <cellStyle name="千分位 2 8 3" xfId="3360"/>
    <cellStyle name="千分位 2 8 3 2" xfId="4834"/>
    <cellStyle name="千分位 2 8 4" xfId="3936"/>
    <cellStyle name="千分位 20" xfId="2409"/>
    <cellStyle name="千分位 20 2" xfId="3002"/>
    <cellStyle name="千分位 20 2 2" xfId="3637"/>
    <cellStyle name="千分位 20 2 2 2" xfId="5099"/>
    <cellStyle name="千分位 20 2 3" xfId="4480"/>
    <cellStyle name="千分位 20 3" xfId="3340"/>
    <cellStyle name="千分位 20 3 2" xfId="4814"/>
    <cellStyle name="千分位 20 4" xfId="3912"/>
    <cellStyle name="千分位 21" xfId="2357"/>
    <cellStyle name="千分位 21 2" xfId="2953"/>
    <cellStyle name="千分位 21 2 2" xfId="3589"/>
    <cellStyle name="千分位 21 2 2 2" xfId="5057"/>
    <cellStyle name="千分位 21 2 3" xfId="4435"/>
    <cellStyle name="千分位 21 3" xfId="3313"/>
    <cellStyle name="千分位 21 3 2" xfId="4787"/>
    <cellStyle name="千分位 21 4" xfId="3874"/>
    <cellStyle name="千分位 22" xfId="2490"/>
    <cellStyle name="千分位 22 2" xfId="3363"/>
    <cellStyle name="千分位 22 2 2" xfId="4837"/>
    <cellStyle name="千分位 22 3" xfId="3988"/>
    <cellStyle name="千分位 23" xfId="755"/>
    <cellStyle name="千分位 23 2" xfId="2366"/>
    <cellStyle name="千分位 23 2 2" xfId="2962"/>
    <cellStyle name="千分位 23 2 2 2" xfId="3598"/>
    <cellStyle name="千分位 23 2 2 2 2" xfId="5065"/>
    <cellStyle name="千分位 23 2 2 3" xfId="4442"/>
    <cellStyle name="千分位 23 2 3" xfId="3316"/>
    <cellStyle name="千分位 23 2 3 2" xfId="4790"/>
    <cellStyle name="千分位 23 2 4" xfId="3881"/>
    <cellStyle name="千分位 23 3" xfId="2749"/>
    <cellStyle name="千分位 23 3 2" xfId="3529"/>
    <cellStyle name="千分位 23 3 2 2" xfId="4999"/>
    <cellStyle name="千分位 23 3 3" xfId="4239"/>
    <cellStyle name="千分位 23 4" xfId="3287"/>
    <cellStyle name="千分位 23 4 2" xfId="4761"/>
    <cellStyle name="千分位 23 5" xfId="3824"/>
    <cellStyle name="千分位 24" xfId="2587"/>
    <cellStyle name="千分位 24 2" xfId="3407"/>
    <cellStyle name="千分位 24 2 2" xfId="4881"/>
    <cellStyle name="千分位 24 3" xfId="4085"/>
    <cellStyle name="千分位 25" xfId="2555"/>
    <cellStyle name="千分位 25 2" xfId="4053"/>
    <cellStyle name="千分位 26" xfId="2597"/>
    <cellStyle name="千分位 26 2" xfId="4095"/>
    <cellStyle name="千分位 27" xfId="3118"/>
    <cellStyle name="千分位 27 2" xfId="4592"/>
    <cellStyle name="千分位 28" xfId="2542"/>
    <cellStyle name="千分位 28 2" xfId="4040"/>
    <cellStyle name="千分位 29" xfId="3192"/>
    <cellStyle name="千分位 29 2" xfId="4666"/>
    <cellStyle name="千分位 3" xfId="413"/>
    <cellStyle name="千分位 3 10" xfId="2568"/>
    <cellStyle name="千分位 3 10 2" xfId="3395"/>
    <cellStyle name="千分位 3 10 2 2" xfId="4869"/>
    <cellStyle name="千分位 3 10 3" xfId="4066"/>
    <cellStyle name="千分位 3 11" xfId="3213"/>
    <cellStyle name="千分位 3 11 2" xfId="4687"/>
    <cellStyle name="千分位 3 12" xfId="3704"/>
    <cellStyle name="千分位 3 2" xfId="494"/>
    <cellStyle name="千分位 3 2 2" xfId="516"/>
    <cellStyle name="千分位 3 2 3" xfId="680"/>
    <cellStyle name="千分位 3 2 3 2" xfId="2425"/>
    <cellStyle name="千分位 3 2 3 2 2" xfId="3017"/>
    <cellStyle name="千分位 3 2 3 2 2 2" xfId="3651"/>
    <cellStyle name="千分位 3 2 3 2 2 2 2" xfId="5112"/>
    <cellStyle name="千分位 3 2 3 2 2 3" xfId="4493"/>
    <cellStyle name="千分位 3 2 3 2 3" xfId="3350"/>
    <cellStyle name="千分位 3 2 3 2 3 2" xfId="4824"/>
    <cellStyle name="千分位 3 2 3 2 4" xfId="3922"/>
    <cellStyle name="千分位 3 2 3 3" xfId="2691"/>
    <cellStyle name="千分位 3 2 3 3 2" xfId="3482"/>
    <cellStyle name="千分位 3 2 3 3 2 2" xfId="4952"/>
    <cellStyle name="千分位 3 2 3 3 3" xfId="4186"/>
    <cellStyle name="千分位 3 2 3 4" xfId="3267"/>
    <cellStyle name="千分位 3 2 3 4 2" xfId="4741"/>
    <cellStyle name="千分位 3 2 3 5" xfId="3780"/>
    <cellStyle name="千分位 3 2 4" xfId="2392"/>
    <cellStyle name="千分位 3 2 4 2" xfId="2986"/>
    <cellStyle name="千分位 3 2 4 2 2" xfId="3623"/>
    <cellStyle name="千分位 3 2 4 2 2 2" xfId="5085"/>
    <cellStyle name="千分位 3 2 4 2 3" xfId="4464"/>
    <cellStyle name="千分位 3 2 4 3" xfId="3330"/>
    <cellStyle name="千分位 3 2 4 3 2" xfId="4804"/>
    <cellStyle name="千分位 3 2 4 4" xfId="3898"/>
    <cellStyle name="千分位 3 2 5" xfId="2282"/>
    <cellStyle name="千分位 3 2 5 2" xfId="2901"/>
    <cellStyle name="千分位 3 2 5 2 2" xfId="3552"/>
    <cellStyle name="千分位 3 2 5 2 2 2" xfId="5021"/>
    <cellStyle name="千分位 3 2 5 2 3" xfId="4387"/>
    <cellStyle name="千分位 3 2 5 3" xfId="3298"/>
    <cellStyle name="千分位 3 2 5 3 2" xfId="4772"/>
    <cellStyle name="千分位 3 2 5 4" xfId="3840"/>
    <cellStyle name="千分位 3 2 6" xfId="2601"/>
    <cellStyle name="千分位 3 2 6 2" xfId="3410"/>
    <cellStyle name="千分位 3 2 6 2 2" xfId="4884"/>
    <cellStyle name="千分位 3 2 6 3" xfId="4099"/>
    <cellStyle name="千分位 3 2 7" xfId="3227"/>
    <cellStyle name="千分位 3 2 7 2" xfId="4701"/>
    <cellStyle name="千分位 3 2 8" xfId="3720"/>
    <cellStyle name="千分位 3 3" xfId="509"/>
    <cellStyle name="千分位 3 4" xfId="478"/>
    <cellStyle name="千分位 3 4 2" xfId="679"/>
    <cellStyle name="千分位 3 4 2 2" xfId="2690"/>
    <cellStyle name="千分位 3 4 2 2 2" xfId="3481"/>
    <cellStyle name="千分位 3 4 2 2 2 2" xfId="4951"/>
    <cellStyle name="千分位 3 4 2 2 3" xfId="4185"/>
    <cellStyle name="千分位 3 4 2 3" xfId="3266"/>
    <cellStyle name="千分位 3 4 2 3 2" xfId="4740"/>
    <cellStyle name="千分位 3 4 2 4" xfId="3779"/>
    <cellStyle name="千分位 3 4 3" xfId="2596"/>
    <cellStyle name="千分位 3 4 3 2" xfId="3409"/>
    <cellStyle name="千分位 3 4 3 2 2" xfId="4883"/>
    <cellStyle name="千分位 3 4 3 3" xfId="4094"/>
    <cellStyle name="千分位 3 4 4" xfId="3226"/>
    <cellStyle name="千分位 3 4 4 2" xfId="4700"/>
    <cellStyle name="千分位 3 4 5" xfId="3718"/>
    <cellStyle name="千分位 3 5" xfId="563"/>
    <cellStyle name="千分位 3 5 2" xfId="697"/>
    <cellStyle name="千分位 3 5 2 2" xfId="2708"/>
    <cellStyle name="千分位 3 5 2 2 2" xfId="3495"/>
    <cellStyle name="千分位 3 5 2 2 2 2" xfId="4965"/>
    <cellStyle name="千分位 3 5 2 2 3" xfId="4199"/>
    <cellStyle name="千分位 3 5 2 3" xfId="3271"/>
    <cellStyle name="千分位 3 5 2 3 2" xfId="4745"/>
    <cellStyle name="千分位 3 5 2 4" xfId="3791"/>
    <cellStyle name="千分位 3 5 3" xfId="2624"/>
    <cellStyle name="千分位 3 5 3 2" xfId="3423"/>
    <cellStyle name="千分位 3 5 3 2 2" xfId="4896"/>
    <cellStyle name="千分位 3 5 3 3" xfId="4121"/>
    <cellStyle name="千分位 3 5 4" xfId="3232"/>
    <cellStyle name="千分位 3 5 4 2" xfId="4706"/>
    <cellStyle name="千分位 3 5 5" xfId="3731"/>
    <cellStyle name="千分位 3 6" xfId="580"/>
    <cellStyle name="千分位 3 6 2" xfId="702"/>
    <cellStyle name="千分位 3 6 2 2" xfId="2713"/>
    <cellStyle name="千分位 3 6 2 2 2" xfId="3500"/>
    <cellStyle name="千分位 3 6 2 2 2 2" xfId="4970"/>
    <cellStyle name="千分位 3 6 2 2 3" xfId="4204"/>
    <cellStyle name="千分位 3 6 2 3" xfId="3276"/>
    <cellStyle name="千分位 3 6 2 3 2" xfId="4750"/>
    <cellStyle name="千分位 3 6 2 4" xfId="3796"/>
    <cellStyle name="千分位 3 6 3" xfId="2632"/>
    <cellStyle name="千分位 3 6 3 2" xfId="3429"/>
    <cellStyle name="千分位 3 6 3 2 2" xfId="4902"/>
    <cellStyle name="千分位 3 6 3 3" xfId="4129"/>
    <cellStyle name="千分位 3 6 4" xfId="3237"/>
    <cellStyle name="千分位 3 6 4 2" xfId="4711"/>
    <cellStyle name="千分位 3 6 5" xfId="3736"/>
    <cellStyle name="千分位 3 7" xfId="661"/>
    <cellStyle name="千分位 3 7 2" xfId="2417"/>
    <cellStyle name="千分位 3 7 2 2" xfId="3010"/>
    <cellStyle name="千分位 3 7 2 2 2" xfId="3645"/>
    <cellStyle name="千分位 3 7 2 2 2 2" xfId="5106"/>
    <cellStyle name="千分位 3 7 2 2 3" xfId="4486"/>
    <cellStyle name="千分位 3 7 2 3" xfId="3344"/>
    <cellStyle name="千分位 3 7 2 3 2" xfId="4818"/>
    <cellStyle name="千分位 3 7 2 4" xfId="3916"/>
    <cellStyle name="千分位 3 7 3" xfId="2310"/>
    <cellStyle name="千分位 3 7 3 2" xfId="2922"/>
    <cellStyle name="千分位 3 7 3 2 2" xfId="3571"/>
    <cellStyle name="千分位 3 7 3 2 2 2" xfId="5039"/>
    <cellStyle name="千分位 3 7 3 2 3" xfId="4407"/>
    <cellStyle name="千分位 3 7 3 3" xfId="3306"/>
    <cellStyle name="千分位 3 7 3 3 2" xfId="4780"/>
    <cellStyle name="千分位 3 7 3 4" xfId="3858"/>
    <cellStyle name="千分位 3 7 4" xfId="2674"/>
    <cellStyle name="千分位 3 7 4 2" xfId="3464"/>
    <cellStyle name="千分位 3 7 4 2 2" xfId="4935"/>
    <cellStyle name="千分位 3 7 4 3" xfId="4170"/>
    <cellStyle name="千分位 3 7 5" xfId="3253"/>
    <cellStyle name="千分位 3 7 5 2" xfId="4727"/>
    <cellStyle name="千分位 3 7 6" xfId="3766"/>
    <cellStyle name="千分位 3 8" xfId="725"/>
    <cellStyle name="千分位 3 8 2" xfId="2733"/>
    <cellStyle name="千分位 3 8 2 2" xfId="3517"/>
    <cellStyle name="千分位 3 8 2 2 2" xfId="4987"/>
    <cellStyle name="千分位 3 8 2 3" xfId="4223"/>
    <cellStyle name="千分位 3 8 3" xfId="3284"/>
    <cellStyle name="千分位 3 8 3 2" xfId="4758"/>
    <cellStyle name="千分位 3 8 4" xfId="3812"/>
    <cellStyle name="千分位 3 9" xfId="2161"/>
    <cellStyle name="千分位 30" xfId="3679"/>
    <cellStyle name="千分位 31" xfId="3762"/>
    <cellStyle name="千分位 4" xfId="411"/>
    <cellStyle name="千分位 4 10" xfId="2566"/>
    <cellStyle name="千分位 4 10 2" xfId="3393"/>
    <cellStyle name="千分位 4 10 2 2" xfId="4867"/>
    <cellStyle name="千分位 4 10 3" xfId="4064"/>
    <cellStyle name="千分位 4 11" xfId="3211"/>
    <cellStyle name="千分位 4 11 2" xfId="4685"/>
    <cellStyle name="千分位 4 12" xfId="3702"/>
    <cellStyle name="千分位 4 2" xfId="511"/>
    <cellStyle name="千分位 4 3" xfId="524"/>
    <cellStyle name="千分位 4 4" xfId="533"/>
    <cellStyle name="千分位 4 5" xfId="481"/>
    <cellStyle name="千分位 4 6" xfId="567"/>
    <cellStyle name="千分位 4 6 2" xfId="698"/>
    <cellStyle name="千分位 4 6 2 2" xfId="2709"/>
    <cellStyle name="千分位 4 6 2 2 2" xfId="3496"/>
    <cellStyle name="千分位 4 6 2 2 2 2" xfId="4966"/>
    <cellStyle name="千分位 4 6 2 2 3" xfId="4200"/>
    <cellStyle name="千分位 4 6 2 3" xfId="3272"/>
    <cellStyle name="千分位 4 6 2 3 2" xfId="4746"/>
    <cellStyle name="千分位 4 6 2 4" xfId="3792"/>
    <cellStyle name="千分位 4 6 3" xfId="2625"/>
    <cellStyle name="千分位 4 6 3 2" xfId="3424"/>
    <cellStyle name="千分位 4 6 3 2 2" xfId="4897"/>
    <cellStyle name="千分位 4 6 3 3" xfId="4122"/>
    <cellStyle name="千分位 4 6 4" xfId="3233"/>
    <cellStyle name="千分位 4 6 4 2" xfId="4707"/>
    <cellStyle name="千分位 4 6 5" xfId="3732"/>
    <cellStyle name="千分位 4 7" xfId="659"/>
    <cellStyle name="千分位 4 7 2" xfId="2415"/>
    <cellStyle name="千分位 4 7 2 2" xfId="3008"/>
    <cellStyle name="千分位 4 7 2 2 2" xfId="3643"/>
    <cellStyle name="千分位 4 7 2 2 2 2" xfId="5104"/>
    <cellStyle name="千分位 4 7 2 2 3" xfId="4484"/>
    <cellStyle name="千分位 4 7 2 3" xfId="3342"/>
    <cellStyle name="千分位 4 7 2 3 2" xfId="4816"/>
    <cellStyle name="千分位 4 7 2 4" xfId="3914"/>
    <cellStyle name="千分位 4 7 3" xfId="2672"/>
    <cellStyle name="千分位 4 7 3 2" xfId="3462"/>
    <cellStyle name="千分位 4 7 3 2 2" xfId="4933"/>
    <cellStyle name="千分位 4 7 3 3" xfId="4168"/>
    <cellStyle name="千分位 4 7 4" xfId="3251"/>
    <cellStyle name="千分位 4 7 4 2" xfId="4725"/>
    <cellStyle name="千分位 4 7 5" xfId="3764"/>
    <cellStyle name="千分位 4 8" xfId="2381"/>
    <cellStyle name="千分位 4 8 2" xfId="2975"/>
    <cellStyle name="千分位 4 8 2 2" xfId="3613"/>
    <cellStyle name="千分位 4 8 2 2 2" xfId="5076"/>
    <cellStyle name="千分位 4 8 2 3" xfId="4455"/>
    <cellStyle name="千分位 4 8 3" xfId="3325"/>
    <cellStyle name="千分位 4 8 3 2" xfId="4799"/>
    <cellStyle name="千分位 4 8 4" xfId="3892"/>
    <cellStyle name="千分位 4 9" xfId="2162"/>
    <cellStyle name="千分位 4 9 2" xfId="2867"/>
    <cellStyle name="千分位 4 9 2 2" xfId="3541"/>
    <cellStyle name="千分位 4 9 2 2 2" xfId="5011"/>
    <cellStyle name="千分位 4 9 2 3" xfId="4356"/>
    <cellStyle name="千分位 4 9 3" xfId="3292"/>
    <cellStyle name="千分位 4 9 3 2" xfId="4766"/>
    <cellStyle name="千分位 4 9 4" xfId="3834"/>
    <cellStyle name="千分位 5" xfId="488"/>
    <cellStyle name="千分位 5 2" xfId="514"/>
    <cellStyle name="千分位 5 3" xfId="527"/>
    <cellStyle name="千分位 5 4" xfId="536"/>
    <cellStyle name="千分位 5 5" xfId="2323"/>
    <cellStyle name="千分位 5 6" xfId="2163"/>
    <cellStyle name="千分位 6" xfId="496"/>
    <cellStyle name="千分位 6 2" xfId="517"/>
    <cellStyle name="千分位 6 2 2" xfId="683"/>
    <cellStyle name="千分位 6 2 2 2" xfId="2428"/>
    <cellStyle name="千分位 6 2 2 2 2" xfId="3020"/>
    <cellStyle name="千分位 6 2 2 2 2 2" xfId="3654"/>
    <cellStyle name="千分位 6 2 2 2 2 2 2" xfId="5115"/>
    <cellStyle name="千分位 6 2 2 2 2 3" xfId="4496"/>
    <cellStyle name="千分位 6 2 2 2 3" xfId="3353"/>
    <cellStyle name="千分位 6 2 2 2 3 2" xfId="4827"/>
    <cellStyle name="千分位 6 2 2 2 4" xfId="3925"/>
    <cellStyle name="千分位 6 2 2 3" xfId="2694"/>
    <cellStyle name="千分位 6 2 2 3 2" xfId="3485"/>
    <cellStyle name="千分位 6 2 2 3 2 2" xfId="4955"/>
    <cellStyle name="千分位 6 2 2 3 3" xfId="4189"/>
    <cellStyle name="千分位 6 2 2 4" xfId="3270"/>
    <cellStyle name="千分位 6 2 2 4 2" xfId="4744"/>
    <cellStyle name="千分位 6 2 2 5" xfId="3783"/>
    <cellStyle name="千分位 6 2 3" xfId="2333"/>
    <cellStyle name="千分位 6 2 3 2" xfId="2934"/>
    <cellStyle name="千分位 6 2 3 2 2" xfId="3578"/>
    <cellStyle name="千分位 6 2 3 2 2 2" xfId="5046"/>
    <cellStyle name="千分位 6 2 3 2 3" xfId="4418"/>
    <cellStyle name="千分位 6 2 3 3" xfId="3311"/>
    <cellStyle name="千分位 6 2 3 3 2" xfId="4785"/>
    <cellStyle name="千分位 6 2 3 4" xfId="3864"/>
    <cellStyle name="千分位 6 2 4" xfId="2605"/>
    <cellStyle name="千分位 6 2 4 2" xfId="3413"/>
    <cellStyle name="千分位 6 2 4 2 2" xfId="4887"/>
    <cellStyle name="千分位 6 2 4 3" xfId="4103"/>
    <cellStyle name="千分位 6 2 5" xfId="3230"/>
    <cellStyle name="千分位 6 2 5 2" xfId="4704"/>
    <cellStyle name="千分位 6 2 6" xfId="3723"/>
    <cellStyle name="千分位 6 3" xfId="682"/>
    <cellStyle name="千分位 6 3 2" xfId="2427"/>
    <cellStyle name="千分位 6 3 2 2" xfId="3019"/>
    <cellStyle name="千分位 6 3 2 2 2" xfId="3653"/>
    <cellStyle name="千分位 6 3 2 2 2 2" xfId="5114"/>
    <cellStyle name="千分位 6 3 2 2 3" xfId="4495"/>
    <cellStyle name="千分位 6 3 2 3" xfId="3352"/>
    <cellStyle name="千分位 6 3 2 3 2" xfId="4826"/>
    <cellStyle name="千分位 6 3 2 4" xfId="3924"/>
    <cellStyle name="千分位 6 3 3" xfId="2325"/>
    <cellStyle name="千分位 6 3 3 2" xfId="2931"/>
    <cellStyle name="千分位 6 3 3 2 2" xfId="3577"/>
    <cellStyle name="千分位 6 3 3 2 2 2" xfId="5045"/>
    <cellStyle name="千分位 6 3 3 2 3" xfId="4415"/>
    <cellStyle name="千分位 6 3 3 3" xfId="3310"/>
    <cellStyle name="千分位 6 3 3 3 2" xfId="4784"/>
    <cellStyle name="千分位 6 3 3 4" xfId="3863"/>
    <cellStyle name="千分位 6 3 4" xfId="2693"/>
    <cellStyle name="千分位 6 3 4 2" xfId="3484"/>
    <cellStyle name="千分位 6 3 4 2 2" xfId="4954"/>
    <cellStyle name="千分位 6 3 4 3" xfId="4188"/>
    <cellStyle name="千分位 6 3 5" xfId="3269"/>
    <cellStyle name="千分位 6 3 5 2" xfId="4743"/>
    <cellStyle name="千分位 6 3 6" xfId="3782"/>
    <cellStyle name="千分位 6 4" xfId="2164"/>
    <cellStyle name="千分位 6 5" xfId="2603"/>
    <cellStyle name="千分位 6 5 2" xfId="3412"/>
    <cellStyle name="千分位 6 5 2 2" xfId="4886"/>
    <cellStyle name="千分位 6 5 3" xfId="4101"/>
    <cellStyle name="千分位 6 6" xfId="3229"/>
    <cellStyle name="千分位 6 6 2" xfId="4703"/>
    <cellStyle name="千分位 6 7" xfId="3722"/>
    <cellStyle name="千分位 7" xfId="437"/>
    <cellStyle name="千分位 7 2" xfId="664"/>
    <cellStyle name="千分位 7 2 2" xfId="2419"/>
    <cellStyle name="千分位 7 2 2 2" xfId="3012"/>
    <cellStyle name="千分位 7 2 2 2 2" xfId="3647"/>
    <cellStyle name="千分位 7 2 2 2 2 2" xfId="5108"/>
    <cellStyle name="千分位 7 2 2 2 3" xfId="4488"/>
    <cellStyle name="千分位 7 2 2 3" xfId="3346"/>
    <cellStyle name="千分位 7 2 2 3 2" xfId="4820"/>
    <cellStyle name="千分位 7 2 2 4" xfId="3918"/>
    <cellStyle name="千分位 7 2 3" xfId="2677"/>
    <cellStyle name="千分位 7 2 3 2" xfId="3467"/>
    <cellStyle name="千分位 7 2 3 2 2" xfId="4938"/>
    <cellStyle name="千分位 7 2 3 3" xfId="4173"/>
    <cellStyle name="千分位 7 2 4" xfId="3256"/>
    <cellStyle name="千分位 7 2 4 2" xfId="4730"/>
    <cellStyle name="千分位 7 2 5" xfId="3769"/>
    <cellStyle name="千分位 7 3" xfId="2382"/>
    <cellStyle name="千分位 7 3 2" xfId="2976"/>
    <cellStyle name="千分位 7 3 2 2" xfId="3614"/>
    <cellStyle name="千分位 7 3 2 2 2" xfId="5077"/>
    <cellStyle name="千分位 7 3 2 3" xfId="4456"/>
    <cellStyle name="千分位 7 3 3" xfId="3326"/>
    <cellStyle name="千分位 7 3 3 2" xfId="4800"/>
    <cellStyle name="千分位 7 3 4" xfId="3893"/>
    <cellStyle name="千分位 7 4" xfId="2165"/>
    <cellStyle name="千分位 7 4 2" xfId="2869"/>
    <cellStyle name="千分位 7 4 2 2" xfId="3542"/>
    <cellStyle name="千分位 7 4 2 2 2" xfId="5012"/>
    <cellStyle name="千分位 7 4 2 3" xfId="4358"/>
    <cellStyle name="千分位 7 4 3" xfId="3293"/>
    <cellStyle name="千分位 7 4 3 2" xfId="4767"/>
    <cellStyle name="千分位 7 4 4" xfId="3835"/>
    <cellStyle name="千分位 7 5" xfId="2574"/>
    <cellStyle name="千分位 7 5 2" xfId="3398"/>
    <cellStyle name="千分位 7 5 2 2" xfId="4872"/>
    <cellStyle name="千分位 7 5 3" xfId="4072"/>
    <cellStyle name="千分位 7 6" xfId="3216"/>
    <cellStyle name="千分位 7 6 2" xfId="4690"/>
    <cellStyle name="千分位 7 7" xfId="3708"/>
    <cellStyle name="千分位 8" xfId="581"/>
    <cellStyle name="千分位 8 2" xfId="703"/>
    <cellStyle name="千分位 8 2 2" xfId="2383"/>
    <cellStyle name="千分位 8 2 2 2" xfId="2977"/>
    <cellStyle name="千分位 8 2 2 2 2" xfId="3615"/>
    <cellStyle name="千分位 8 2 2 2 2 2" xfId="5078"/>
    <cellStyle name="千分位 8 2 2 2 3" xfId="4457"/>
    <cellStyle name="千分位 8 2 2 3" xfId="3327"/>
    <cellStyle name="千分位 8 2 2 3 2" xfId="4801"/>
    <cellStyle name="千分位 8 2 2 4" xfId="3894"/>
    <cellStyle name="千分位 8 2 3" xfId="2714"/>
    <cellStyle name="千分位 8 2 3 2" xfId="3501"/>
    <cellStyle name="千分位 8 2 3 2 2" xfId="4971"/>
    <cellStyle name="千分位 8 2 3 3" xfId="4205"/>
    <cellStyle name="千分位 8 2 4" xfId="3277"/>
    <cellStyle name="千分位 8 2 4 2" xfId="4751"/>
    <cellStyle name="千分位 8 2 5" xfId="3797"/>
    <cellStyle name="千分位 8 3" xfId="2166"/>
    <cellStyle name="千分位 8 3 2" xfId="2870"/>
    <cellStyle name="千分位 8 3 2 2" xfId="3543"/>
    <cellStyle name="千分位 8 3 2 2 2" xfId="5013"/>
    <cellStyle name="千分位 8 3 2 3" xfId="4359"/>
    <cellStyle name="千分位 8 3 3" xfId="3294"/>
    <cellStyle name="千分位 8 3 3 2" xfId="4768"/>
    <cellStyle name="千分位 8 3 4" xfId="3836"/>
    <cellStyle name="千分位 8 4" xfId="2633"/>
    <cellStyle name="千分位 8 4 2" xfId="3430"/>
    <cellStyle name="千分位 8 4 2 2" xfId="4903"/>
    <cellStyle name="千分位 8 4 3" xfId="4130"/>
    <cellStyle name="千分位 8 5" xfId="3238"/>
    <cellStyle name="千分位 8 5 2" xfId="4712"/>
    <cellStyle name="千分位 8 6" xfId="3737"/>
    <cellStyle name="千分位 9" xfId="586"/>
    <cellStyle name="千分位 9 2" xfId="2167"/>
    <cellStyle name="千分位 9 3" xfId="2638"/>
    <cellStyle name="千分位 9 3 2" xfId="3435"/>
    <cellStyle name="千分位 9 3 2 2" xfId="4908"/>
    <cellStyle name="千分位 9 3 3" xfId="4135"/>
    <cellStyle name="千分位 9 4" xfId="3241"/>
    <cellStyle name="千分位 9 4 2" xfId="4715"/>
    <cellStyle name="千分位 9 5" xfId="3742"/>
    <cellStyle name="千分位[0] 2" xfId="574"/>
    <cellStyle name="千分位[0] 2 2" xfId="700"/>
    <cellStyle name="千分位[0] 2 2 2" xfId="2711"/>
    <cellStyle name="千分位[0] 2 2 2 2" xfId="3498"/>
    <cellStyle name="千分位[0] 2 2 2 2 2" xfId="4968"/>
    <cellStyle name="千分位[0] 2 2 2 3" xfId="4202"/>
    <cellStyle name="千分位[0] 2 2 3" xfId="3274"/>
    <cellStyle name="千分位[0] 2 2 3 2" xfId="4748"/>
    <cellStyle name="千分位[0] 2 2 4" xfId="3794"/>
    <cellStyle name="千分位[0] 2 3" xfId="2628"/>
    <cellStyle name="千分位[0] 2 3 2" xfId="3426"/>
    <cellStyle name="千分位[0] 2 3 2 2" xfId="4899"/>
    <cellStyle name="千分位[0] 2 3 3" xfId="4125"/>
    <cellStyle name="千分位[0] 2 4" xfId="3235"/>
    <cellStyle name="千分位[0] 2 4 2" xfId="4709"/>
    <cellStyle name="千分位[0] 2 5" xfId="3734"/>
    <cellStyle name="千分位[0] 3" xfId="717"/>
    <cellStyle name="千分位[0] 3 2" xfId="2728"/>
    <cellStyle name="千分位[0] 3 2 2" xfId="3515"/>
    <cellStyle name="千分位[0] 3 2 2 2" xfId="4985"/>
    <cellStyle name="千分位[0] 3 2 3" xfId="4218"/>
    <cellStyle name="千分位[0] 3 3" xfId="3282"/>
    <cellStyle name="千分位[0] 3 3 2" xfId="4756"/>
    <cellStyle name="千分位[0] 3 4" xfId="3810"/>
    <cellStyle name="千分位_accrued 04-05 II" xfId="305"/>
    <cellStyle name="千位[0]_ 应交税金审定表" xfId="306"/>
    <cellStyle name="千位_ 应交税金审定表" xfId="307"/>
    <cellStyle name="千位分隔 2" xfId="498"/>
    <cellStyle name="千位分隔 2 2" xfId="720"/>
    <cellStyle name="千位分隔 2 2 2" xfId="2327"/>
    <cellStyle name="千位分隔 2 3" xfId="2368"/>
    <cellStyle name="千位分隔 2 3 2" xfId="2964"/>
    <cellStyle name="千位分隔 2 3 2 2" xfId="3600"/>
    <cellStyle name="千位分隔 2 3 2 2 2" xfId="5067"/>
    <cellStyle name="千位分隔 2 3 2 3" xfId="4444"/>
    <cellStyle name="千位分隔 2 3 3" xfId="3318"/>
    <cellStyle name="千位分隔 2 3 3 2" xfId="4792"/>
    <cellStyle name="千位分隔 2 3 4" xfId="3883"/>
    <cellStyle name="千位分隔 2 4" xfId="764"/>
    <cellStyle name="千位分隔 2 4 2" xfId="2752"/>
    <cellStyle name="千位分隔 2 4 2 2" xfId="3531"/>
    <cellStyle name="千位分隔 2 4 2 2 2" xfId="5001"/>
    <cellStyle name="千位分隔 2 4 2 3" xfId="4242"/>
    <cellStyle name="千位分隔 2 4 3" xfId="3289"/>
    <cellStyle name="千位分隔 2 4 3 2" xfId="4763"/>
    <cellStyle name="千位分隔 2 4 4" xfId="3826"/>
    <cellStyle name="千位分隔 3" xfId="491"/>
    <cellStyle name="千位分隔 3 2" xfId="486"/>
    <cellStyle name="千位分隔 3 2 2" xfId="513"/>
    <cellStyle name="千位分隔 3 2 3" xfId="526"/>
    <cellStyle name="千位分隔 3 2 4" xfId="535"/>
    <cellStyle name="千位分隔 3 3" xfId="515"/>
    <cellStyle name="千位分隔 3 4" xfId="528"/>
    <cellStyle name="千位分隔 3 5" xfId="537"/>
    <cellStyle name="千位分隔 3 6" xfId="541"/>
    <cellStyle name="千位分隔 4" xfId="501"/>
    <cellStyle name="千位分隔 5" xfId="503"/>
    <cellStyle name="千位分隔 6" xfId="521"/>
    <cellStyle name="千位分隔 7" xfId="539"/>
    <cellStyle name="千位分隔[0]_北京物流06预审底稿-sfy" xfId="552"/>
    <cellStyle name="千位分隔_2002-NS15B" xfId="553"/>
    <cellStyle name="分级显示行_1_2002年度报表格式_集团公司" xfId="308"/>
    <cellStyle name="日期" xfId="2168"/>
    <cellStyle name="日期 2" xfId="2384"/>
    <cellStyle name="日期 2 2" xfId="2978"/>
    <cellStyle name="日期 2 2 2" xfId="3616"/>
    <cellStyle name="日期 2 2 2 2" xfId="5079"/>
    <cellStyle name="日期 2 2 2 2 2" xfId="6822"/>
    <cellStyle name="日期 2 2 2 3" xfId="6032"/>
    <cellStyle name="日期 2 2 3" xfId="4458"/>
    <cellStyle name="日期 2 2 3 2" xfId="6520"/>
    <cellStyle name="日期 2 2 4" xfId="5686"/>
    <cellStyle name="日期 2 3" xfId="3129"/>
    <cellStyle name="日期 2 3 2" xfId="4603"/>
    <cellStyle name="日期 2 3 2 2" xfId="6624"/>
    <cellStyle name="日期 2 3 3" xfId="5805"/>
    <cellStyle name="日期 2 4" xfId="2832"/>
    <cellStyle name="日期 2 4 2" xfId="4321"/>
    <cellStyle name="日期 2 4 2 2" xfId="6427"/>
    <cellStyle name="日期 2 4 3" xfId="5574"/>
    <cellStyle name="日期 2 5" xfId="3895"/>
    <cellStyle name="日期 2 5 2" xfId="6151"/>
    <cellStyle name="日期 2 6" xfId="5263"/>
    <cellStyle name="日期 3" xfId="2872"/>
    <cellStyle name="日期 3 2" xfId="3544"/>
    <cellStyle name="日期 3 2 2" xfId="5014"/>
    <cellStyle name="日期 3 2 2 2" xfId="6786"/>
    <cellStyle name="日期 3 2 3" xfId="5988"/>
    <cellStyle name="日期 3 3" xfId="4361"/>
    <cellStyle name="日期 3 3 2" xfId="6458"/>
    <cellStyle name="日期 3 4" xfId="5607"/>
    <cellStyle name="日期 4" xfId="2558"/>
    <cellStyle name="日期 4 2" xfId="4056"/>
    <cellStyle name="日期 4 2 2" xfId="6248"/>
    <cellStyle name="日期 4 3" xfId="5381"/>
    <cellStyle name="日期 5" xfId="2757"/>
    <cellStyle name="日期 5 2" xfId="4247"/>
    <cellStyle name="日期 5 2 2" xfId="6359"/>
    <cellStyle name="日期 5 3" xfId="5504"/>
    <cellStyle name="日期 6" xfId="3837"/>
    <cellStyle name="日期 6 2" xfId="6123"/>
    <cellStyle name="日期 7" xfId="5222"/>
    <cellStyle name="计算" xfId="350"/>
    <cellStyle name="计算 2" xfId="407"/>
    <cellStyle name="计算 2 2" xfId="656"/>
    <cellStyle name="计算 2 2 2" xfId="2413"/>
    <cellStyle name="计算 2 2 2 2" xfId="3006"/>
    <cellStyle name="计算 2 2 2 2 2" xfId="3641"/>
    <cellStyle name="计算 2 2 2 2 2 2" xfId="5102"/>
    <cellStyle name="计算 2 2 2 2 2 2 2" xfId="6829"/>
    <cellStyle name="计算 2 2 2 2 2 3" xfId="6045"/>
    <cellStyle name="计算 2 2 2 2 3" xfId="4482"/>
    <cellStyle name="计算 2 2 2 2 3 2" xfId="6528"/>
    <cellStyle name="计算 2 2 2 2 4" xfId="5702"/>
    <cellStyle name="计算 2 2 2 3" xfId="3117"/>
    <cellStyle name="计算 2 2 2 3 2" xfId="4591"/>
    <cellStyle name="计算 2 2 2 3 2 2" xfId="6613"/>
    <cellStyle name="计算 2 2 2 3 3" xfId="5794"/>
    <cellStyle name="计算 2 2 2 4" xfId="2876"/>
    <cellStyle name="计算 2 2 2 4 2" xfId="4365"/>
    <cellStyle name="计算 2 2 2 4 2 2" xfId="6461"/>
    <cellStyle name="计算 2 2 2 4 3" xfId="5610"/>
    <cellStyle name="计算 2 2 2 5" xfId="2882"/>
    <cellStyle name="计算 2 2 2 5 2" xfId="4371"/>
    <cellStyle name="计算 2 2 2 5 2 2" xfId="6464"/>
    <cellStyle name="计算 2 2 2 5 3" xfId="5614"/>
    <cellStyle name="计算 2 2 2 6" xfId="5276"/>
    <cellStyle name="计算 2 2 3" xfId="2670"/>
    <cellStyle name="计算 2 2 3 2" xfId="3460"/>
    <cellStyle name="计算 2 2 3 2 2" xfId="4931"/>
    <cellStyle name="计算 2 2 3 2 2 2" xfId="6749"/>
    <cellStyle name="计算 2 2 3 2 3" xfId="5945"/>
    <cellStyle name="计算 2 2 3 3" xfId="4166"/>
    <cellStyle name="计算 2 2 3 3 2" xfId="6317"/>
    <cellStyle name="计算 2 2 3 4" xfId="5456"/>
    <cellStyle name="计算 2 2 4" xfId="2486"/>
    <cellStyle name="计算 2 2 4 2" xfId="3984"/>
    <cellStyle name="计算 2 2 4 2 2" xfId="6191"/>
    <cellStyle name="计算 2 2 4 3" xfId="5320"/>
    <cellStyle name="计算 2 2 5" xfId="2789"/>
    <cellStyle name="计算 2 2 5 2" xfId="4279"/>
    <cellStyle name="计算 2 2 5 2 2" xfId="6390"/>
    <cellStyle name="计算 2 2 5 3" xfId="5535"/>
    <cellStyle name="计算 2 2 6" xfId="2484"/>
    <cellStyle name="计算 2 2 6 2" xfId="3982"/>
    <cellStyle name="计算 2 2 6 2 2" xfId="6189"/>
    <cellStyle name="计算 2 2 6 3" xfId="5318"/>
    <cellStyle name="计算 2 2 7" xfId="5179"/>
    <cellStyle name="计算 2 3" xfId="2387"/>
    <cellStyle name="计算 2 3 2" xfId="2981"/>
    <cellStyle name="计算 2 3 2 2" xfId="3618"/>
    <cellStyle name="计算 2 3 2 2 2" xfId="5080"/>
    <cellStyle name="计算 2 3 2 2 2 2" xfId="6823"/>
    <cellStyle name="计算 2 3 2 2 3" xfId="6034"/>
    <cellStyle name="计算 2 3 2 3" xfId="4460"/>
    <cellStyle name="计算 2 3 2 3 2" xfId="6522"/>
    <cellStyle name="计算 2 3 2 4" xfId="5689"/>
    <cellStyle name="计算 2 3 3" xfId="3107"/>
    <cellStyle name="计算 2 3 3 2" xfId="4581"/>
    <cellStyle name="计算 2 3 3 2 2" xfId="6604"/>
    <cellStyle name="计算 2 3 3 3" xfId="5784"/>
    <cellStyle name="计算 2 3 4" xfId="3136"/>
    <cellStyle name="计算 2 3 4 2" xfId="4610"/>
    <cellStyle name="计算 2 3 4 2 2" xfId="6629"/>
    <cellStyle name="计算 2 3 4 3" xfId="5812"/>
    <cellStyle name="计算 2 3 5" xfId="2570"/>
    <cellStyle name="计算 2 3 5 2" xfId="4068"/>
    <cellStyle name="计算 2 3 5 2 2" xfId="6255"/>
    <cellStyle name="计算 2 3 5 3" xfId="5388"/>
    <cellStyle name="计算 2 3 6" xfId="5266"/>
    <cellStyle name="计算 2 4" xfId="2255"/>
    <cellStyle name="计算 2 4 2" xfId="2888"/>
    <cellStyle name="计算 2 4 2 2" xfId="3547"/>
    <cellStyle name="计算 2 4 2 2 2" xfId="5016"/>
    <cellStyle name="计算 2 4 2 2 2 2" xfId="6787"/>
    <cellStyle name="计算 2 4 2 2 3" xfId="5990"/>
    <cellStyle name="计算 2 4 2 3" xfId="4376"/>
    <cellStyle name="计算 2 4 2 3 2" xfId="6467"/>
    <cellStyle name="计算 2 4 2 4" xfId="5619"/>
    <cellStyle name="计算 2 4 3" xfId="3072"/>
    <cellStyle name="计算 2 4 3 2" xfId="4546"/>
    <cellStyle name="计算 2 4 3 2 2" xfId="6571"/>
    <cellStyle name="计算 2 4 3 3" xfId="5749"/>
    <cellStyle name="计算 2 4 4" xfId="2584"/>
    <cellStyle name="计算 2 4 4 2" xfId="4082"/>
    <cellStyle name="计算 2 4 4 2 2" xfId="6260"/>
    <cellStyle name="计算 2 4 4 3" xfId="5393"/>
    <cellStyle name="计算 2 4 5" xfId="3089"/>
    <cellStyle name="计算 2 4 5 2" xfId="4563"/>
    <cellStyle name="计算 2 4 5 2 2" xfId="6587"/>
    <cellStyle name="计算 2 4 5 3" xfId="5766"/>
    <cellStyle name="计算 2 4 6" xfId="5225"/>
    <cellStyle name="计算 2 5" xfId="2563"/>
    <cellStyle name="计算 2 5 2" xfId="3391"/>
    <cellStyle name="计算 2 5 2 2" xfId="4865"/>
    <cellStyle name="计算 2 5 2 2 2" xfId="6721"/>
    <cellStyle name="计算 2 5 2 3" xfId="5911"/>
    <cellStyle name="计算 2 5 3" xfId="4061"/>
    <cellStyle name="计算 2 5 3 2" xfId="6252"/>
    <cellStyle name="计算 2 5 4" xfId="5385"/>
    <cellStyle name="计算 2 6" xfId="2972"/>
    <cellStyle name="计算 2 6 2" xfId="4452"/>
    <cellStyle name="计算 2 6 2 2" xfId="6519"/>
    <cellStyle name="计算 2 6 3" xfId="5685"/>
    <cellStyle name="计算 3" xfId="473"/>
    <cellStyle name="计算 3 2" xfId="677"/>
    <cellStyle name="计算 3 2 2" xfId="2688"/>
    <cellStyle name="计算 3 2 2 2" xfId="3479"/>
    <cellStyle name="计算 3 2 2 2 2" xfId="4949"/>
    <cellStyle name="计算 3 2 2 2 2 2" xfId="6753"/>
    <cellStyle name="计算 3 2 2 2 3" xfId="5950"/>
    <cellStyle name="计算 3 2 2 3" xfId="4183"/>
    <cellStyle name="计算 3 2 2 3 2" xfId="6321"/>
    <cellStyle name="计算 3 2 2 4" xfId="5461"/>
    <cellStyle name="计算 3 2 3" xfId="2816"/>
    <cellStyle name="计算 3 2 3 2" xfId="4306"/>
    <cellStyle name="计算 3 2 3 2 2" xfId="6414"/>
    <cellStyle name="计算 3 2 3 3" xfId="5560"/>
    <cellStyle name="计算 3 2 4" xfId="2607"/>
    <cellStyle name="计算 3 2 4 2" xfId="4105"/>
    <cellStyle name="计算 3 2 4 2 2" xfId="6274"/>
    <cellStyle name="计算 3 2 4 3" xfId="5407"/>
    <cellStyle name="计算 3 2 5" xfId="2774"/>
    <cellStyle name="计算 3 2 5 2" xfId="4264"/>
    <cellStyle name="计算 3 2 5 2 2" xfId="6376"/>
    <cellStyle name="计算 3 2 5 3" xfId="5521"/>
    <cellStyle name="计算 3 2 6" xfId="5185"/>
    <cellStyle name="计算 3 3" xfId="2594"/>
    <cellStyle name="计算 3 3 2" xfId="4092"/>
    <cellStyle name="计算 3 3 2 2" xfId="6268"/>
    <cellStyle name="计算 3 3 3" xfId="5401"/>
    <cellStyle name="计算 3 4" xfId="2849"/>
    <cellStyle name="计算 3 4 2" xfId="4338"/>
    <cellStyle name="计算 3 4 2 2" xfId="6443"/>
    <cellStyle name="计算 3 4 3" xfId="5590"/>
    <cellStyle name="计算 3 5" xfId="2529"/>
    <cellStyle name="计算 3 5 2" xfId="4027"/>
    <cellStyle name="计算 3 5 2 2" xfId="6223"/>
    <cellStyle name="计算 3 5 3" xfId="5354"/>
    <cellStyle name="计算 3 6" xfId="2935"/>
    <cellStyle name="计算 3 6 2" xfId="4419"/>
    <cellStyle name="计算 3 6 2 2" xfId="6493"/>
    <cellStyle name="计算 3 6 3" xfId="5653"/>
    <cellStyle name="计算 3 7" xfId="2668"/>
    <cellStyle name="计算 3 7 2" xfId="4165"/>
    <cellStyle name="计算 3 7 2 2" xfId="6316"/>
    <cellStyle name="计算 3 7 3" xfId="5454"/>
    <cellStyle name="计算 3 8" xfId="5143"/>
    <cellStyle name="计算 4" xfId="561"/>
    <cellStyle name="计算 4 2" xfId="696"/>
    <cellStyle name="计算 4 2 2" xfId="2707"/>
    <cellStyle name="计算 4 2 2 2" xfId="3494"/>
    <cellStyle name="计算 4 2 2 2 2" xfId="4964"/>
    <cellStyle name="计算 4 2 2 2 2 2" xfId="6763"/>
    <cellStyle name="计算 4 2 2 2 3" xfId="5960"/>
    <cellStyle name="计算 4 2 2 3" xfId="4198"/>
    <cellStyle name="计算 4 2 2 3 2" xfId="6331"/>
    <cellStyle name="计算 4 2 2 4" xfId="5471"/>
    <cellStyle name="计算 4 2 3" xfId="2482"/>
    <cellStyle name="计算 4 2 3 2" xfId="3980"/>
    <cellStyle name="计算 4 2 3 2 2" xfId="6187"/>
    <cellStyle name="计算 4 2 3 3" xfId="5316"/>
    <cellStyle name="计算 4 2 4" xfId="2782"/>
    <cellStyle name="计算 4 2 4 2" xfId="4272"/>
    <cellStyle name="计算 4 2 4 2 2" xfId="6384"/>
    <cellStyle name="计算 4 2 4 3" xfId="5529"/>
    <cellStyle name="计算 4 2 5" xfId="2468"/>
    <cellStyle name="计算 4 2 5 2" xfId="3966"/>
    <cellStyle name="计算 4 2 5 2 2" xfId="6175"/>
    <cellStyle name="计算 4 2 5 3" xfId="5304"/>
    <cellStyle name="计算 4 2 6" xfId="5195"/>
    <cellStyle name="计算 4 3" xfId="2623"/>
    <cellStyle name="计算 4 3 2" xfId="4120"/>
    <cellStyle name="计算 4 3 2 2" xfId="6289"/>
    <cellStyle name="计算 4 3 3" xfId="5423"/>
    <cellStyle name="计算 4 4" xfId="2833"/>
    <cellStyle name="计算 4 4 2" xfId="4322"/>
    <cellStyle name="计算 4 4 2 2" xfId="6428"/>
    <cellStyle name="计算 4 4 3" xfId="5575"/>
    <cellStyle name="计算 4 5" xfId="3092"/>
    <cellStyle name="计算 4 5 2" xfId="4566"/>
    <cellStyle name="计算 4 5 2 2" xfId="6589"/>
    <cellStyle name="计算 4 5 3" xfId="5769"/>
    <cellStyle name="计算 4 6" xfId="3095"/>
    <cellStyle name="计算 4 6 2" xfId="4569"/>
    <cellStyle name="计算 4 6 2 2" xfId="6592"/>
    <cellStyle name="计算 4 6 3" xfId="5772"/>
    <cellStyle name="计算 4 7" xfId="2613"/>
    <cellStyle name="计算 4 7 2" xfId="4111"/>
    <cellStyle name="计算 4 7 2 2" xfId="6280"/>
    <cellStyle name="计算 4 7 3" xfId="5413"/>
    <cellStyle name="计算 4 8" xfId="5155"/>
    <cellStyle name="计算 5" xfId="576"/>
    <cellStyle name="计算 5 2" xfId="2438"/>
    <cellStyle name="计算 5 2 2" xfId="3030"/>
    <cellStyle name="计算 5 2 2 2" xfId="3664"/>
    <cellStyle name="计算 5 2 2 2 2" xfId="5124"/>
    <cellStyle name="计算 5 2 2 2 2 2" xfId="6840"/>
    <cellStyle name="计算 5 2 2 2 3" xfId="6057"/>
    <cellStyle name="计算 5 2 2 3" xfId="4504"/>
    <cellStyle name="计算 5 2 2 3 2" xfId="6539"/>
    <cellStyle name="计算 5 2 2 4" xfId="5715"/>
    <cellStyle name="计算 5 2 3" xfId="3127"/>
    <cellStyle name="计算 5 2 3 2" xfId="4601"/>
    <cellStyle name="计算 5 2 3 2 2" xfId="6622"/>
    <cellStyle name="计算 5 2 3 3" xfId="5803"/>
    <cellStyle name="计算 5 2 4" xfId="3159"/>
    <cellStyle name="计算 5 2 4 2" xfId="4633"/>
    <cellStyle name="计算 5 2 4 2 2" xfId="6644"/>
    <cellStyle name="计算 5 2 4 3" xfId="5829"/>
    <cellStyle name="计算 5 2 5" xfId="3186"/>
    <cellStyle name="计算 5 2 5 2" xfId="4660"/>
    <cellStyle name="计算 5 2 5 2 2" xfId="6668"/>
    <cellStyle name="计算 5 2 5 3" xfId="5853"/>
    <cellStyle name="计算 5 2 6" xfId="5287"/>
    <cellStyle name="计算 5 3" xfId="2629"/>
    <cellStyle name="计算 5 3 2" xfId="3427"/>
    <cellStyle name="计算 5 3 2 2" xfId="4900"/>
    <cellStyle name="计算 5 3 2 2 2" xfId="6733"/>
    <cellStyle name="计算 5 3 2 3" xfId="5924"/>
    <cellStyle name="计算 5 3 3" xfId="4126"/>
    <cellStyle name="计算 5 3 3 2" xfId="6291"/>
    <cellStyle name="计算 5 3 4" xfId="5425"/>
    <cellStyle name="计算 5 4" xfId="2831"/>
    <cellStyle name="计算 5 4 2" xfId="4320"/>
    <cellStyle name="计算 5 4 2 2" xfId="6426"/>
    <cellStyle name="计算 5 4 3" xfId="5573"/>
    <cellStyle name="计算 5 5" xfId="2898"/>
    <cellStyle name="计算 5 5 2" xfId="4384"/>
    <cellStyle name="计算 5 5 2 2" xfId="6475"/>
    <cellStyle name="计算 5 5 3" xfId="5628"/>
    <cellStyle name="计算 5 6" xfId="3164"/>
    <cellStyle name="计算 5 6 2" xfId="4638"/>
    <cellStyle name="计算 5 6 2 2" xfId="6649"/>
    <cellStyle name="计算 5 6 3" xfId="5834"/>
    <cellStyle name="计算 5 7" xfId="5156"/>
    <cellStyle name="计算 6" xfId="2536"/>
    <cellStyle name="计算 6 2" xfId="3377"/>
    <cellStyle name="计算 6 2 2" xfId="4851"/>
    <cellStyle name="计算 6 2 2 2" xfId="6709"/>
    <cellStyle name="计算 6 2 3" xfId="5897"/>
    <cellStyle name="计算 6 3" xfId="4034"/>
    <cellStyle name="计算 6 3 2" xfId="6230"/>
    <cellStyle name="计算 6 4" xfId="5361"/>
    <cellStyle name="计算 7" xfId="2896"/>
    <cellStyle name="计算 7 2" xfId="4382"/>
    <cellStyle name="计算 7 2 2" xfId="6473"/>
    <cellStyle name="计算 7 3" xfId="5626"/>
    <cellStyle name="未定義" xfId="309"/>
    <cellStyle name="汇总" xfId="349"/>
    <cellStyle name="汇总 2" xfId="406"/>
    <cellStyle name="汇总 2 2" xfId="655"/>
    <cellStyle name="汇总 2 2 2" xfId="2412"/>
    <cellStyle name="汇总 2 2 2 2" xfId="3005"/>
    <cellStyle name="汇总 2 2 2 2 2" xfId="3640"/>
    <cellStyle name="汇总 2 2 2 2 2 2" xfId="6044"/>
    <cellStyle name="汇总 2 2 2 2 3" xfId="5701"/>
    <cellStyle name="汇总 2 2 2 3" xfId="3116"/>
    <cellStyle name="汇总 2 2 2 3 2" xfId="4590"/>
    <cellStyle name="汇总 2 2 2 3 2 2" xfId="6612"/>
    <cellStyle name="汇总 2 2 2 3 3" xfId="5793"/>
    <cellStyle name="汇总 2 2 2 4" xfId="2933"/>
    <cellStyle name="汇总 2 2 2 4 2" xfId="4417"/>
    <cellStyle name="汇总 2 2 2 4 2 2" xfId="6492"/>
    <cellStyle name="汇总 2 2 2 4 3" xfId="5652"/>
    <cellStyle name="汇总 2 2 2 5" xfId="3130"/>
    <cellStyle name="汇总 2 2 2 5 2" xfId="4604"/>
    <cellStyle name="汇总 2 2 2 5 2 2" xfId="6625"/>
    <cellStyle name="汇总 2 2 2 5 3" xfId="5806"/>
    <cellStyle name="汇总 2 2 2 6" xfId="5275"/>
    <cellStyle name="汇总 2 2 3" xfId="2669"/>
    <cellStyle name="汇总 2 2 3 2" xfId="3459"/>
    <cellStyle name="汇总 2 2 3 2 2" xfId="5944"/>
    <cellStyle name="汇总 2 2 3 3" xfId="5455"/>
    <cellStyle name="汇总 2 2 4" xfId="2487"/>
    <cellStyle name="汇总 2 2 4 2" xfId="3985"/>
    <cellStyle name="汇总 2 2 4 2 2" xfId="6192"/>
    <cellStyle name="汇总 2 2 4 3" xfId="5321"/>
    <cellStyle name="汇总 2 2 5" xfId="2790"/>
    <cellStyle name="汇总 2 2 5 2" xfId="4280"/>
    <cellStyle name="汇总 2 2 5 2 2" xfId="6391"/>
    <cellStyle name="汇总 2 2 5 3" xfId="5536"/>
    <cellStyle name="汇总 2 2 6" xfId="2777"/>
    <cellStyle name="汇总 2 2 6 2" xfId="4267"/>
    <cellStyle name="汇总 2 2 6 2 2" xfId="6379"/>
    <cellStyle name="汇总 2 2 6 3" xfId="5524"/>
    <cellStyle name="汇总 2 2 7" xfId="5178"/>
    <cellStyle name="汇总 2 3" xfId="2386"/>
    <cellStyle name="汇总 2 3 2" xfId="2980"/>
    <cellStyle name="汇总 2 3 2 2" xfId="3617"/>
    <cellStyle name="汇总 2 3 2 2 2" xfId="6033"/>
    <cellStyle name="汇总 2 3 2 3" xfId="5688"/>
    <cellStyle name="汇总 2 3 3" xfId="3106"/>
    <cellStyle name="汇总 2 3 3 2" xfId="4580"/>
    <cellStyle name="汇总 2 3 3 2 2" xfId="6603"/>
    <cellStyle name="汇总 2 3 3 3" xfId="5783"/>
    <cellStyle name="汇总 2 3 4" xfId="3128"/>
    <cellStyle name="汇总 2 3 4 2" xfId="4602"/>
    <cellStyle name="汇总 2 3 4 2 2" xfId="6623"/>
    <cellStyle name="汇总 2 3 4 3" xfId="5804"/>
    <cellStyle name="汇总 2 3 5" xfId="3057"/>
    <cellStyle name="汇总 2 3 5 2" xfId="4531"/>
    <cellStyle name="汇总 2 3 5 2 2" xfId="6558"/>
    <cellStyle name="汇总 2 3 5 3" xfId="5735"/>
    <cellStyle name="汇总 2 3 6" xfId="5265"/>
    <cellStyle name="汇总 2 4" xfId="2251"/>
    <cellStyle name="汇总 2 4 2" xfId="2886"/>
    <cellStyle name="汇总 2 4 2 2" xfId="3546"/>
    <cellStyle name="汇总 2 4 2 2 2" xfId="5989"/>
    <cellStyle name="汇总 2 4 2 3" xfId="5617"/>
    <cellStyle name="汇总 2 4 3" xfId="3071"/>
    <cellStyle name="汇总 2 4 3 2" xfId="4545"/>
    <cellStyle name="汇总 2 4 3 2 2" xfId="6570"/>
    <cellStyle name="汇总 2 4 3 3" xfId="5748"/>
    <cellStyle name="汇总 2 4 4" xfId="2469"/>
    <cellStyle name="汇总 2 4 4 2" xfId="3967"/>
    <cellStyle name="汇总 2 4 4 2 2" xfId="6176"/>
    <cellStyle name="汇总 2 4 4 3" xfId="5305"/>
    <cellStyle name="汇总 2 4 5" xfId="2562"/>
    <cellStyle name="汇总 2 4 5 2" xfId="4060"/>
    <cellStyle name="汇总 2 4 5 2 2" xfId="6251"/>
    <cellStyle name="汇总 2 4 5 3" xfId="5384"/>
    <cellStyle name="汇总 2 4 6" xfId="5224"/>
    <cellStyle name="汇总 2 5" xfId="2515"/>
    <cellStyle name="汇总 2 5 2" xfId="3390"/>
    <cellStyle name="汇总 2 5 2 2" xfId="4864"/>
    <cellStyle name="汇总 2 5 2 2 2" xfId="6720"/>
    <cellStyle name="汇总 2 5 2 3" xfId="5910"/>
    <cellStyle name="汇总 2 5 3" xfId="4013"/>
    <cellStyle name="汇总 2 5 3 2" xfId="6213"/>
    <cellStyle name="汇总 2 5 4" xfId="5343"/>
    <cellStyle name="汇总 3" xfId="472"/>
    <cellStyle name="汇总 3 2" xfId="676"/>
    <cellStyle name="汇总 3 2 2" xfId="2687"/>
    <cellStyle name="汇总 3 2 2 2" xfId="3478"/>
    <cellStyle name="汇总 3 2 2 2 2" xfId="5949"/>
    <cellStyle name="汇总 3 2 2 3" xfId="5460"/>
    <cellStyle name="汇总 3 2 3" xfId="2817"/>
    <cellStyle name="汇总 3 2 3 2" xfId="4307"/>
    <cellStyle name="汇总 3 2 3 2 2" xfId="6415"/>
    <cellStyle name="汇总 3 2 3 3" xfId="5561"/>
    <cellStyle name="汇总 3 2 4" xfId="2572"/>
    <cellStyle name="汇总 3 2 4 2" xfId="4070"/>
    <cellStyle name="汇总 3 2 4 2 2" xfId="6256"/>
    <cellStyle name="汇总 3 2 4 3" xfId="5389"/>
    <cellStyle name="汇总 3 2 5" xfId="2781"/>
    <cellStyle name="汇总 3 2 5 2" xfId="4271"/>
    <cellStyle name="汇总 3 2 5 2 2" xfId="6383"/>
    <cellStyle name="汇总 3 2 5 3" xfId="5528"/>
    <cellStyle name="汇总 3 2 6" xfId="5184"/>
    <cellStyle name="汇总 3 3" xfId="2593"/>
    <cellStyle name="汇总 3 3 2" xfId="4091"/>
    <cellStyle name="汇总 3 3 2 2" xfId="6267"/>
    <cellStyle name="汇总 3 3 3" xfId="5400"/>
    <cellStyle name="汇总 3 4" xfId="2945"/>
    <cellStyle name="汇总 3 4 2" xfId="4428"/>
    <cellStyle name="汇总 3 4 2 2" xfId="6502"/>
    <cellStyle name="汇总 3 4 3" xfId="5663"/>
    <cellStyle name="汇总 3 5" xfId="3076"/>
    <cellStyle name="汇总 3 5 2" xfId="4550"/>
    <cellStyle name="汇总 3 5 2 2" xfId="6575"/>
    <cellStyle name="汇总 3 5 3" xfId="5753"/>
    <cellStyle name="汇总 3 6" xfId="2803"/>
    <cellStyle name="汇总 3 6 2" xfId="4293"/>
    <cellStyle name="汇总 3 6 2 2" xfId="6402"/>
    <cellStyle name="汇总 3 6 3" xfId="5547"/>
    <cellStyle name="汇总 3 7" xfId="2773"/>
    <cellStyle name="汇总 3 7 2" xfId="4263"/>
    <cellStyle name="汇总 3 7 2 2" xfId="6375"/>
    <cellStyle name="汇总 3 7 3" xfId="5520"/>
    <cellStyle name="汇总 3 8" xfId="5142"/>
    <cellStyle name="汇总 4" xfId="560"/>
    <cellStyle name="汇总 4 2" xfId="2437"/>
    <cellStyle name="汇总 4 2 2" xfId="3029"/>
    <cellStyle name="汇总 4 2 2 2" xfId="3663"/>
    <cellStyle name="汇总 4 2 2 2 2" xfId="6056"/>
    <cellStyle name="汇总 4 2 2 3" xfId="5714"/>
    <cellStyle name="汇总 4 2 3" xfId="3126"/>
    <cellStyle name="汇总 4 2 3 2" xfId="4600"/>
    <cellStyle name="汇总 4 2 3 2 2" xfId="6621"/>
    <cellStyle name="汇总 4 2 3 3" xfId="5802"/>
    <cellStyle name="汇总 4 2 4" xfId="3158"/>
    <cellStyle name="汇总 4 2 4 2" xfId="4632"/>
    <cellStyle name="汇总 4 2 4 2 2" xfId="6643"/>
    <cellStyle name="汇总 4 2 4 3" xfId="5828"/>
    <cellStyle name="汇总 4 2 5" xfId="3185"/>
    <cellStyle name="汇总 4 2 5 2" xfId="4659"/>
    <cellStyle name="汇总 4 2 5 2 2" xfId="6667"/>
    <cellStyle name="汇总 4 2 5 3" xfId="5852"/>
    <cellStyle name="汇总 4 2 6" xfId="5286"/>
    <cellStyle name="汇总 4 3" xfId="2622"/>
    <cellStyle name="汇总 4 3 2" xfId="3422"/>
    <cellStyle name="汇总 4 3 2 2" xfId="5923"/>
    <cellStyle name="汇总 4 3 3" xfId="5422"/>
    <cellStyle name="汇总 4 4" xfId="2834"/>
    <cellStyle name="汇总 4 4 2" xfId="4323"/>
    <cellStyle name="汇总 4 4 2 2" xfId="6429"/>
    <cellStyle name="汇总 4 4 3" xfId="5576"/>
    <cellStyle name="汇总 4 5" xfId="2939"/>
    <cellStyle name="汇总 4 5 2" xfId="4423"/>
    <cellStyle name="汇总 4 5 2 2" xfId="6497"/>
    <cellStyle name="汇总 4 5 3" xfId="5657"/>
    <cellStyle name="汇总 4 6" xfId="2855"/>
    <cellStyle name="汇总 4 6 2" xfId="4344"/>
    <cellStyle name="汇总 4 6 2 2" xfId="6449"/>
    <cellStyle name="汇总 4 6 3" xfId="5596"/>
    <cellStyle name="汇总 4 7" xfId="5154"/>
    <cellStyle name="汇总 5" xfId="2364"/>
    <cellStyle name="汇总 5 2" xfId="2960"/>
    <cellStyle name="汇总 5 2 2" xfId="3596"/>
    <cellStyle name="汇总 5 2 2 2" xfId="6024"/>
    <cellStyle name="汇总 5 2 3" xfId="5676"/>
    <cellStyle name="汇总 5 3" xfId="3101"/>
    <cellStyle name="汇总 5 3 2" xfId="4575"/>
    <cellStyle name="汇总 5 3 2 2" xfId="6598"/>
    <cellStyle name="汇总 5 3 3" xfId="5778"/>
    <cellStyle name="汇总 5 4" xfId="2583"/>
    <cellStyle name="汇总 5 4 2" xfId="4081"/>
    <cellStyle name="汇总 5 4 2 2" xfId="6259"/>
    <cellStyle name="汇总 5 4 3" xfId="5392"/>
    <cellStyle name="汇总 5 5" xfId="2534"/>
    <cellStyle name="汇总 5 5 2" xfId="4032"/>
    <cellStyle name="汇总 5 5 2 2" xfId="6228"/>
    <cellStyle name="汇总 5 5 3" xfId="5359"/>
    <cellStyle name="汇总 5 6" xfId="5255"/>
    <cellStyle name="汇总 6" xfId="2897"/>
    <cellStyle name="汇总 6 2" xfId="3376"/>
    <cellStyle name="汇总 6 2 2" xfId="4850"/>
    <cellStyle name="汇总 6 2 2 2" xfId="6708"/>
    <cellStyle name="汇总 6 2 3" xfId="5896"/>
    <cellStyle name="汇总 6 3" xfId="4383"/>
    <cellStyle name="汇总 6 3 2" xfId="6474"/>
    <cellStyle name="汇总 6 4" xfId="5627"/>
    <cellStyle name="后继超级链接" xfId="2169"/>
    <cellStyle name="好_2007 to 2011 working" xfId="2170"/>
    <cellStyle name="好_2007 to 2011 working 2" xfId="2171"/>
    <cellStyle name="好_D_MDG_0308" xfId="2172"/>
    <cellStyle name="好_D_MDG_0308_2007 to 2011 working" xfId="2173"/>
    <cellStyle name="好_Summary of minutes" xfId="2174"/>
    <cellStyle name="好_WP1" xfId="310"/>
    <cellStyle name="好_WP1 2" xfId="386"/>
    <cellStyle name="好_WP1 2 2" xfId="635"/>
    <cellStyle name="好_WP1 3" xfId="451"/>
    <cellStyle name="百分比 2" xfId="414"/>
    <cellStyle name="百分比 2 10" xfId="2569"/>
    <cellStyle name="百分比 2 10 2" xfId="3396"/>
    <cellStyle name="百分比 2 10 2 2" xfId="4870"/>
    <cellStyle name="百分比 2 10 3" xfId="4067"/>
    <cellStyle name="百分比 2 11" xfId="3214"/>
    <cellStyle name="百分比 2 11 2" xfId="4688"/>
    <cellStyle name="百分比 2 12" xfId="3705"/>
    <cellStyle name="百分比 2 2" xfId="485"/>
    <cellStyle name="百分比 2 2 2" xfId="492"/>
    <cellStyle name="百分比 2 2 3" xfId="2321"/>
    <cellStyle name="百分比 2 2 4" xfId="2177"/>
    <cellStyle name="百分比 2 3" xfId="512"/>
    <cellStyle name="百分比 2 3 2" xfId="2332"/>
    <cellStyle name="百分比 2 3 3" xfId="2393"/>
    <cellStyle name="百分比 2 3 3 2" xfId="2987"/>
    <cellStyle name="百分比 2 3 3 2 2" xfId="3624"/>
    <cellStyle name="百分比 2 3 3 2 2 2" xfId="5086"/>
    <cellStyle name="百分比 2 3 3 2 3" xfId="4465"/>
    <cellStyle name="百分比 2 3 3 3" xfId="3331"/>
    <cellStyle name="百分比 2 3 3 3 2" xfId="4805"/>
    <cellStyle name="百分比 2 3 3 4" xfId="3899"/>
    <cellStyle name="百分比 2 3 4" xfId="2283"/>
    <cellStyle name="百分比 2 3 4 2" xfId="2902"/>
    <cellStyle name="百分比 2 3 4 2 2" xfId="3553"/>
    <cellStyle name="百分比 2 3 4 2 2 2" xfId="5022"/>
    <cellStyle name="百分比 2 3 4 2 3" xfId="4388"/>
    <cellStyle name="百分比 2 3 4 3" xfId="3299"/>
    <cellStyle name="百分比 2 3 4 3 2" xfId="4773"/>
    <cellStyle name="百分比 2 3 4 4" xfId="3841"/>
    <cellStyle name="百分比 2 4" xfId="525"/>
    <cellStyle name="百分比 2 5" xfId="534"/>
    <cellStyle name="百分比 2 6" xfId="482"/>
    <cellStyle name="百分比 2 7" xfId="662"/>
    <cellStyle name="百分比 2 7 2" xfId="2418"/>
    <cellStyle name="百分比 2 7 2 2" xfId="3011"/>
    <cellStyle name="百分比 2 7 2 2 2" xfId="3646"/>
    <cellStyle name="百分比 2 7 2 2 2 2" xfId="5107"/>
    <cellStyle name="百分比 2 7 2 2 3" xfId="4487"/>
    <cellStyle name="百分比 2 7 2 3" xfId="3345"/>
    <cellStyle name="百分比 2 7 2 3 2" xfId="4819"/>
    <cellStyle name="百分比 2 7 2 4" xfId="3917"/>
    <cellStyle name="百分比 2 7 3" xfId="2311"/>
    <cellStyle name="百分比 2 7 3 2" xfId="2923"/>
    <cellStyle name="百分比 2 7 3 2 2" xfId="3572"/>
    <cellStyle name="百分比 2 7 3 2 2 2" xfId="5040"/>
    <cellStyle name="百分比 2 7 3 2 3" xfId="4408"/>
    <cellStyle name="百分比 2 7 3 3" xfId="3307"/>
    <cellStyle name="百分比 2 7 3 3 2" xfId="4781"/>
    <cellStyle name="百分比 2 7 3 4" xfId="3859"/>
    <cellStyle name="百分比 2 7 4" xfId="2675"/>
    <cellStyle name="百分比 2 7 4 2" xfId="3465"/>
    <cellStyle name="百分比 2 7 4 2 2" xfId="4936"/>
    <cellStyle name="百分比 2 7 4 3" xfId="4171"/>
    <cellStyle name="百分比 2 7 5" xfId="3254"/>
    <cellStyle name="百分比 2 7 5 2" xfId="4728"/>
    <cellStyle name="百分比 2 7 6" xfId="3767"/>
    <cellStyle name="百分比 2 8" xfId="726"/>
    <cellStyle name="百分比 2 9" xfId="2176"/>
    <cellStyle name="百分比 3" xfId="311"/>
    <cellStyle name="百分比 3 2" xfId="2178"/>
    <cellStyle name="百分比 4" xfId="499"/>
    <cellStyle name="百分比 4 2" xfId="2328"/>
    <cellStyle name="百分比 4 3" xfId="2179"/>
    <cellStyle name="百分比 5" xfId="2175"/>
    <cellStyle name="百分比 6" xfId="2280"/>
    <cellStyle name="百分比 6 2" xfId="2390"/>
    <cellStyle name="百分比 6 2 2" xfId="2984"/>
    <cellStyle name="百分比 6 2 2 2" xfId="3621"/>
    <cellStyle name="百分比 6 2 2 2 2" xfId="5083"/>
    <cellStyle name="百分比 6 2 2 3" xfId="4462"/>
    <cellStyle name="百分比 6 2 3" xfId="3328"/>
    <cellStyle name="百分比 6 2 3 2" xfId="4802"/>
    <cellStyle name="百分比 6 2 4" xfId="3896"/>
    <cellStyle name="百分比 6 3" xfId="2899"/>
    <cellStyle name="百分比 6 3 2" xfId="3550"/>
    <cellStyle name="百分比 6 3 2 2" xfId="5019"/>
    <cellStyle name="百分比 6 3 3" xfId="4385"/>
    <cellStyle name="百分比 6 4" xfId="3296"/>
    <cellStyle name="百分比 6 4 2" xfId="4770"/>
    <cellStyle name="百分比 6 5" xfId="3838"/>
    <cellStyle name="昗弨_FWBS1100" xfId="312"/>
    <cellStyle name="注释" xfId="313"/>
    <cellStyle name="注释 2" xfId="387"/>
    <cellStyle name="注释 2 2" xfId="636"/>
    <cellStyle name="注释 2 2 2" xfId="2408"/>
    <cellStyle name="注释 2 2 2 2" xfId="3001"/>
    <cellStyle name="注释 2 2 2 2 2" xfId="4479"/>
    <cellStyle name="注释 2 2 2 2 2 2" xfId="6526"/>
    <cellStyle name="注释 2 2 2 2 3" xfId="5698"/>
    <cellStyle name="注释 2 2 2 3" xfId="3113"/>
    <cellStyle name="注释 2 2 2 3 2" xfId="4587"/>
    <cellStyle name="注释 2 2 2 3 2 2" xfId="6609"/>
    <cellStyle name="注释 2 2 2 3 3" xfId="5790"/>
    <cellStyle name="注释 2 2 2 4" xfId="3143"/>
    <cellStyle name="注释 2 2 2 4 2" xfId="4617"/>
    <cellStyle name="注释 2 2 2 4 2 2" xfId="6632"/>
    <cellStyle name="注释 2 2 2 4 3" xfId="5815"/>
    <cellStyle name="注释 2 2 2 5" xfId="2527"/>
    <cellStyle name="注释 2 2 2 5 2" xfId="4025"/>
    <cellStyle name="注释 2 2 2 5 2 2" xfId="6221"/>
    <cellStyle name="注释 2 2 2 5 3" xfId="5352"/>
    <cellStyle name="注释 2 2 2 6" xfId="2609"/>
    <cellStyle name="注释 2 2 2 6 2" xfId="4107"/>
    <cellStyle name="注释 2 2 2 6 2 2" xfId="6276"/>
    <cellStyle name="注释 2 2 2 6 3" xfId="5409"/>
    <cellStyle name="注释 2 2 2 7" xfId="5273"/>
    <cellStyle name="注释 2 2 3" xfId="2664"/>
    <cellStyle name="注释 2 2 3 2" xfId="4161"/>
    <cellStyle name="注释 2 2 3 2 2" xfId="6312"/>
    <cellStyle name="注释 2 2 3 3" xfId="5450"/>
    <cellStyle name="注释 2 2 4" xfId="2492"/>
    <cellStyle name="注释 2 2 4 2" xfId="3990"/>
    <cellStyle name="注释 2 2 4 2 2" xfId="6195"/>
    <cellStyle name="注释 2 2 4 3" xfId="5324"/>
    <cellStyle name="注释 2 2 5" xfId="2810"/>
    <cellStyle name="注释 2 2 5 2" xfId="4300"/>
    <cellStyle name="注释 2 2 5 2 2" xfId="6409"/>
    <cellStyle name="注释 2 2 5 3" xfId="5554"/>
    <cellStyle name="注释 2 2 6" xfId="2793"/>
    <cellStyle name="注释 2 2 6 2" xfId="4283"/>
    <cellStyle name="注释 2 2 6 2 2" xfId="6393"/>
    <cellStyle name="注释 2 2 6 3" xfId="5538"/>
    <cellStyle name="注释 2 2 7" xfId="3085"/>
    <cellStyle name="注释 2 2 7 2" xfId="4559"/>
    <cellStyle name="注释 2 2 7 2 2" xfId="6583"/>
    <cellStyle name="注释 2 2 7 3" xfId="5762"/>
    <cellStyle name="注释 2 2 8" xfId="5175"/>
    <cellStyle name="注释 2 3" xfId="2385"/>
    <cellStyle name="注释 2 3 2" xfId="2979"/>
    <cellStyle name="注释 2 3 2 2" xfId="4459"/>
    <cellStyle name="注释 2 3 2 2 2" xfId="6521"/>
    <cellStyle name="注释 2 3 2 3" xfId="5687"/>
    <cellStyle name="注释 2 3 3" xfId="3105"/>
    <cellStyle name="注释 2 3 3 2" xfId="4579"/>
    <cellStyle name="注释 2 3 3 2 2" xfId="6602"/>
    <cellStyle name="注释 2 3 3 3" xfId="5782"/>
    <cellStyle name="注释 2 3 4" xfId="3134"/>
    <cellStyle name="注释 2 3 4 2" xfId="4608"/>
    <cellStyle name="注释 2 3 4 2 2" xfId="6627"/>
    <cellStyle name="注释 2 3 4 3" xfId="5810"/>
    <cellStyle name="注释 2 3 5" xfId="3075"/>
    <cellStyle name="注释 2 3 5 2" xfId="4549"/>
    <cellStyle name="注释 2 3 5 2 2" xfId="6574"/>
    <cellStyle name="注释 2 3 5 3" xfId="5752"/>
    <cellStyle name="注释 2 3 6" xfId="2631"/>
    <cellStyle name="注释 2 3 6 2" xfId="4128"/>
    <cellStyle name="注释 2 3 6 2 2" xfId="6293"/>
    <cellStyle name="注释 2 3 6 3" xfId="5427"/>
    <cellStyle name="注释 2 3 7" xfId="5264"/>
    <cellStyle name="注释 2 4" xfId="2180"/>
    <cellStyle name="注释 2 4 2" xfId="2873"/>
    <cellStyle name="注释 2 4 2 2" xfId="4362"/>
    <cellStyle name="注释 2 4 2 2 2" xfId="6459"/>
    <cellStyle name="注释 2 4 2 3" xfId="5608"/>
    <cellStyle name="注释 2 4 3" xfId="3050"/>
    <cellStyle name="注释 2 4 3 2" xfId="4524"/>
    <cellStyle name="注释 2 4 3 2 2" xfId="6552"/>
    <cellStyle name="注释 2 4 3 3" xfId="5728"/>
    <cellStyle name="注释 2 4 4" xfId="2805"/>
    <cellStyle name="注释 2 4 4 2" xfId="4295"/>
    <cellStyle name="注释 2 4 4 2 2" xfId="6404"/>
    <cellStyle name="注释 2 4 4 3" xfId="5549"/>
    <cellStyle name="注释 2 4 5" xfId="3111"/>
    <cellStyle name="注释 2 4 5 2" xfId="4585"/>
    <cellStyle name="注释 2 4 5 2 2" xfId="6607"/>
    <cellStyle name="注释 2 4 5 3" xfId="5788"/>
    <cellStyle name="注释 2 4 6" xfId="2530"/>
    <cellStyle name="注释 2 4 6 2" xfId="4028"/>
    <cellStyle name="注释 2 4 6 2 2" xfId="6224"/>
    <cellStyle name="注释 2 4 6 3" xfId="5355"/>
    <cellStyle name="注释 2 4 7" xfId="5223"/>
    <cellStyle name="注释 2 5" xfId="2520"/>
    <cellStyle name="注释 2 5 2" xfId="3387"/>
    <cellStyle name="注释 2 5 2 2" xfId="4861"/>
    <cellStyle name="注释 2 5 2 2 2" xfId="6717"/>
    <cellStyle name="注释 2 5 2 3" xfId="5907"/>
    <cellStyle name="注释 2 5 3" xfId="4018"/>
    <cellStyle name="注释 2 5 3 2" xfId="6217"/>
    <cellStyle name="注释 2 5 4" xfId="5348"/>
    <cellStyle name="注释 3" xfId="453"/>
    <cellStyle name="注释 3 2" xfId="2354"/>
    <cellStyle name="注释 3 2 2" xfId="2950"/>
    <cellStyle name="注释 3 2 2 2" xfId="4433"/>
    <cellStyle name="注释 3 2 2 2 2" xfId="6507"/>
    <cellStyle name="注释 3 2 2 3" xfId="5668"/>
    <cellStyle name="注释 3 2 3" xfId="3097"/>
    <cellStyle name="注释 3 2 3 2" xfId="4571"/>
    <cellStyle name="注释 3 2 3 2 2" xfId="6594"/>
    <cellStyle name="注释 3 2 3 3" xfId="5774"/>
    <cellStyle name="注释 3 2 4" xfId="2656"/>
    <cellStyle name="注释 3 2 4 2" xfId="4153"/>
    <cellStyle name="注释 3 2 4 2 2" xfId="6306"/>
    <cellStyle name="注释 3 2 4 3" xfId="5442"/>
    <cellStyle name="注释 3 2 5" xfId="2481"/>
    <cellStyle name="注释 3 2 5 2" xfId="3979"/>
    <cellStyle name="注释 3 2 5 2 2" xfId="6186"/>
    <cellStyle name="注释 3 2 5 3" xfId="5315"/>
    <cellStyle name="注释 3 2 6" xfId="3137"/>
    <cellStyle name="注释 3 2 6 2" xfId="4611"/>
    <cellStyle name="注释 3 2 6 2 2" xfId="6630"/>
    <cellStyle name="注释 3 2 6 3" xfId="5813"/>
    <cellStyle name="注释 3 2 7" xfId="5249"/>
    <cellStyle name="注释 3 3" xfId="2585"/>
    <cellStyle name="注释 3 3 2" xfId="4083"/>
    <cellStyle name="注释 3 3 2 2" xfId="6261"/>
    <cellStyle name="注释 3 3 3" xfId="5394"/>
    <cellStyle name="注释 3 4" xfId="2850"/>
    <cellStyle name="注释 3 4 2" xfId="4339"/>
    <cellStyle name="注释 3 4 2 2" xfId="6444"/>
    <cellStyle name="注释 3 4 3" xfId="5591"/>
    <cellStyle name="注释 3 5" xfId="2862"/>
    <cellStyle name="注释 3 5 2" xfId="4351"/>
    <cellStyle name="注释 3 5 2 2" xfId="6455"/>
    <cellStyle name="注释 3 5 3" xfId="5602"/>
    <cellStyle name="注释 3 6" xfId="3080"/>
    <cellStyle name="注释 3 6 2" xfId="4554"/>
    <cellStyle name="注释 3 6 2 2" xfId="6579"/>
    <cellStyle name="注释 3 6 3" xfId="5757"/>
    <cellStyle name="注释 3 7" xfId="2459"/>
    <cellStyle name="注释 3 7 2" xfId="3957"/>
    <cellStyle name="注释 3 7 2 2" xfId="6167"/>
    <cellStyle name="注释 3 7 3" xfId="5296"/>
    <cellStyle name="注释 3 8" xfId="5139"/>
    <cellStyle name="注释 4" xfId="554"/>
    <cellStyle name="注释 4 2" xfId="2356"/>
    <cellStyle name="注释 4 2 2" xfId="2952"/>
    <cellStyle name="注释 4 2 2 2" xfId="4434"/>
    <cellStyle name="注释 4 2 2 2 2" xfId="6508"/>
    <cellStyle name="注释 4 2 2 3" xfId="5670"/>
    <cellStyle name="注释 4 2 3" xfId="3099"/>
    <cellStyle name="注释 4 2 3 2" xfId="4573"/>
    <cellStyle name="注释 4 2 3 2 2" xfId="6596"/>
    <cellStyle name="注释 4 2 3 3" xfId="5776"/>
    <cellStyle name="注释 4 2 4" xfId="3082"/>
    <cellStyle name="注释 4 2 4 2" xfId="4556"/>
    <cellStyle name="注释 4 2 4 2 2" xfId="6580"/>
    <cellStyle name="注释 4 2 4 3" xfId="5759"/>
    <cellStyle name="注释 4 2 5" xfId="3096"/>
    <cellStyle name="注释 4 2 5 2" xfId="4570"/>
    <cellStyle name="注释 4 2 5 2 2" xfId="6593"/>
    <cellStyle name="注释 4 2 5 3" xfId="5773"/>
    <cellStyle name="注释 4 2 6" xfId="2792"/>
    <cellStyle name="注释 4 2 6 2" xfId="4282"/>
    <cellStyle name="注释 4 2 6 2 2" xfId="6392"/>
    <cellStyle name="注释 4 2 6 3" xfId="5537"/>
    <cellStyle name="注释 4 2 7" xfId="5250"/>
    <cellStyle name="注释 4 3" xfId="2618"/>
    <cellStyle name="注释 4 3 2" xfId="4116"/>
    <cellStyle name="注释 4 3 2 2" xfId="6285"/>
    <cellStyle name="注释 4 3 3" xfId="5418"/>
    <cellStyle name="注释 4 4" xfId="2837"/>
    <cellStyle name="注释 4 4 2" xfId="4326"/>
    <cellStyle name="注释 4 4 2 2" xfId="6432"/>
    <cellStyle name="注释 4 4 3" xfId="5579"/>
    <cellStyle name="注释 4 5" xfId="2754"/>
    <cellStyle name="注释 4 5 2" xfId="4244"/>
    <cellStyle name="注释 4 5 2 2" xfId="6356"/>
    <cellStyle name="注释 4 5 3" xfId="5501"/>
    <cellStyle name="注释 4 6" xfId="3043"/>
    <cellStyle name="注释 4 6 2" xfId="4517"/>
    <cellStyle name="注释 4 6 2 2" xfId="6545"/>
    <cellStyle name="注释 4 6 3" xfId="5721"/>
    <cellStyle name="注释 4 7" xfId="2471"/>
    <cellStyle name="注释 4 7 2" xfId="3969"/>
    <cellStyle name="注释 4 7 2 2" xfId="6177"/>
    <cellStyle name="注释 4 7 3" xfId="5306"/>
    <cellStyle name="注释 4 8" xfId="5149"/>
    <cellStyle name="注释 5" xfId="2863"/>
    <cellStyle name="注释 5 2" xfId="3373"/>
    <cellStyle name="注释 5 2 2" xfId="4847"/>
    <cellStyle name="注释 5 2 2 2" xfId="6705"/>
    <cellStyle name="注释 5 2 3" xfId="5893"/>
    <cellStyle name="注释 5 3" xfId="4352"/>
    <cellStyle name="注释 5 3 2" xfId="6456"/>
    <cellStyle name="注释 5 4" xfId="5603"/>
    <cellStyle name="绊沥免仿1" xfId="2252"/>
    <cellStyle name="绊沥免仿2" xfId="2253"/>
    <cellStyle name="绊沥家箭痢" xfId="2254"/>
    <cellStyle name="货币_Fixed assets" xfId="562"/>
    <cellStyle name="钎霖_(type)醚褒" xfId="2258"/>
    <cellStyle name="标题" xfId="343"/>
    <cellStyle name="标题 1" xfId="344"/>
    <cellStyle name="标题 1 2" xfId="401"/>
    <cellStyle name="标题 1 2 2" xfId="650"/>
    <cellStyle name="标题 1 2 3" xfId="2245"/>
    <cellStyle name="标题 1 3" xfId="467"/>
    <cellStyle name="标题 2" xfId="345"/>
    <cellStyle name="标题 2 2" xfId="402"/>
    <cellStyle name="标题 2 2 2" xfId="651"/>
    <cellStyle name="标题 2 2 3" xfId="2246"/>
    <cellStyle name="标题 2 3" xfId="468"/>
    <cellStyle name="标题 3" xfId="346"/>
    <cellStyle name="标题 3 2" xfId="403"/>
    <cellStyle name="标题 3 2 2" xfId="652"/>
    <cellStyle name="标题 3 2 2 2" xfId="2442"/>
    <cellStyle name="标题 3 2 2 2 2" xfId="3033"/>
    <cellStyle name="标题 3 2 2 2 2 2" xfId="3667"/>
    <cellStyle name="标题 3 2 2 2 2 2 2" xfId="5127"/>
    <cellStyle name="标题 3 2 2 2 2 3" xfId="4507"/>
    <cellStyle name="标题 3 2 2 2 3" xfId="3149"/>
    <cellStyle name="标题 3 2 2 2 3 2" xfId="3674"/>
    <cellStyle name="标题 3 2 2 2 3 2 2" xfId="5134"/>
    <cellStyle name="标题 3 2 2 2 3 3" xfId="4623"/>
    <cellStyle name="标题 3 2 2 2 4" xfId="3183"/>
    <cellStyle name="标题 3 2 2 2 4 2" xfId="4657"/>
    <cellStyle name="标题 3 2 2 2 5" xfId="3356"/>
    <cellStyle name="标题 3 2 2 2 5 2" xfId="4830"/>
    <cellStyle name="标题 3 2 2 3" xfId="2488"/>
    <cellStyle name="标题 3 2 2 3 2" xfId="3458"/>
    <cellStyle name="标题 3 2 2 3 2 2" xfId="4930"/>
    <cellStyle name="标题 3 2 2 3 3" xfId="3986"/>
    <cellStyle name="标题 3 2 2 4" xfId="2791"/>
    <cellStyle name="标题 3 2 2 4 2" xfId="4281"/>
    <cellStyle name="标题 3 2 2 5" xfId="2526"/>
    <cellStyle name="标题 3 2 2 5 2" xfId="4024"/>
    <cellStyle name="标题 3 2 2 6" xfId="3249"/>
    <cellStyle name="标题 3 2 2 6 2" xfId="4723"/>
    <cellStyle name="标题 3 2 2 7" xfId="3684"/>
    <cellStyle name="标题 3 2 3" xfId="2247"/>
    <cellStyle name="标题 3 2 3 2" xfId="3069"/>
    <cellStyle name="标题 3 2 3 2 2" xfId="3545"/>
    <cellStyle name="标题 3 2 3 2 2 2" xfId="5015"/>
    <cellStyle name="标题 3 2 3 2 3" xfId="4543"/>
    <cellStyle name="标题 3 2 3 3" xfId="2470"/>
    <cellStyle name="标题 3 2 3 3 2" xfId="3968"/>
    <cellStyle name="标题 3 2 3 4" xfId="2848"/>
    <cellStyle name="标题 3 2 3 4 2" xfId="4337"/>
    <cellStyle name="标题 3 2 3 5" xfId="3295"/>
    <cellStyle name="标题 3 2 3 5 2" xfId="4769"/>
    <cellStyle name="标题 3 2 3 6" xfId="3938"/>
    <cellStyle name="标题 3 2 4" xfId="2440"/>
    <cellStyle name="标题 3 2 4 2" xfId="3032"/>
    <cellStyle name="标题 3 2 4 2 2" xfId="3666"/>
    <cellStyle name="标题 3 2 4 2 2 2" xfId="5126"/>
    <cellStyle name="标题 3 2 4 2 3" xfId="4506"/>
    <cellStyle name="标题 3 2 4 3" xfId="3148"/>
    <cellStyle name="标题 3 2 4 3 2" xfId="3673"/>
    <cellStyle name="标题 3 2 4 3 2 2" xfId="5133"/>
    <cellStyle name="标题 3 2 4 3 3" xfId="4622"/>
    <cellStyle name="标题 3 2 4 4" xfId="3182"/>
    <cellStyle name="标题 3 2 4 4 2" xfId="4656"/>
    <cellStyle name="标题 3 2 4 5" xfId="3355"/>
    <cellStyle name="标题 3 2 4 5 2" xfId="4829"/>
    <cellStyle name="标题 3 3" xfId="469"/>
    <cellStyle name="标题 3 3 2" xfId="675"/>
    <cellStyle name="标题 3 3 2 2" xfId="2818"/>
    <cellStyle name="标题 3 3 2 2 2" xfId="3477"/>
    <cellStyle name="标题 3 3 2 2 2 2" xfId="4948"/>
    <cellStyle name="标题 3 3 2 2 3" xfId="4308"/>
    <cellStyle name="标题 3 3 2 3" xfId="2786"/>
    <cellStyle name="标题 3 3 2 3 2" xfId="4276"/>
    <cellStyle name="标题 3 3 2 4" xfId="2513"/>
    <cellStyle name="标题 3 3 2 4 2" xfId="4011"/>
    <cellStyle name="标题 3 3 2 5" xfId="3264"/>
    <cellStyle name="标题 3 3 2 5 2" xfId="4738"/>
    <cellStyle name="标题 3 3 2 6" xfId="3683"/>
    <cellStyle name="标题 3 4" xfId="601"/>
    <cellStyle name="标题 3 4 2" xfId="2740"/>
    <cellStyle name="标题 3 4 2 2" xfId="3446"/>
    <cellStyle name="标题 3 4 2 2 2" xfId="4919"/>
    <cellStyle name="标题 3 4 2 3" xfId="4230"/>
    <cellStyle name="标题 3 4 3" xfId="2795"/>
    <cellStyle name="标题 3 4 3 2" xfId="4285"/>
    <cellStyle name="标题 3 4 4" xfId="3177"/>
    <cellStyle name="标题 3 4 4 2" xfId="4651"/>
    <cellStyle name="标题 3 4 5" xfId="3246"/>
    <cellStyle name="标题 3 4 5 2" xfId="4720"/>
    <cellStyle name="标题 3 4 6" xfId="3845"/>
    <cellStyle name="标题 4" xfId="347"/>
    <cellStyle name="标题 4 2" xfId="404"/>
    <cellStyle name="标题 4 2 2" xfId="653"/>
    <cellStyle name="标题 4 2 3" xfId="2248"/>
    <cellStyle name="标题 4 3" xfId="470"/>
    <cellStyle name="标题 5" xfId="400"/>
    <cellStyle name="标题 5 2" xfId="649"/>
    <cellStyle name="标题 5 3" xfId="2244"/>
    <cellStyle name="标题 6" xfId="466"/>
    <cellStyle name="标题_2007 to 2011 working" xfId="2249"/>
    <cellStyle name="钦魂" xfId="2259"/>
    <cellStyle name="差" xfId="314"/>
    <cellStyle name="差 2" xfId="388"/>
    <cellStyle name="差 2 2" xfId="637"/>
    <cellStyle name="差 2 3" xfId="2181"/>
    <cellStyle name="差 3" xfId="454"/>
    <cellStyle name="差_2007 to 2011 working" xfId="2182"/>
    <cellStyle name="差_Book3_Mar_30_10乾胜审计资料需要提供的文件--初稿3_30(1)_May 12,11 乾胜 Feb 2011 ETB 201103" xfId="479"/>
    <cellStyle name="差_Mar 13,10 成都ETB-1002_O130_Mar 29 11 肇市乾胜有限公司审计清单_Feb 17,12 鸿伟木业2011-ETB" xfId="484"/>
    <cellStyle name="拳企扁龋" xfId="2183"/>
    <cellStyle name="拳企扁龋0" xfId="2184"/>
    <cellStyle name="捠壿 [0.00]_TABLE 3" xfId="341"/>
    <cellStyle name="捠壿_TABLE 3" xfId="342"/>
    <cellStyle name="桁区切り [0.00]_１１月価格表" xfId="315"/>
    <cellStyle name="桁区切り_１１月価格表" xfId="316"/>
    <cellStyle name="珨啜_30554_6_h" xfId="2185"/>
    <cellStyle name="砯刽 [0]_BS9701-3" xfId="2186"/>
    <cellStyle name="砯刽[0]_MMC-CP1" xfId="2187"/>
    <cellStyle name="砯刽_BS9701-3" xfId="2188"/>
    <cellStyle name="资产" xfId="351"/>
    <cellStyle name="资产 10" xfId="3692"/>
    <cellStyle name="资产 10 2" xfId="6060"/>
    <cellStyle name="资产 2" xfId="408"/>
    <cellStyle name="资产 2 2" xfId="657"/>
    <cellStyle name="资产 2 2 2" xfId="2414"/>
    <cellStyle name="资产 2 2 2 2" xfId="3007"/>
    <cellStyle name="资产 2 2 2 2 2" xfId="3642"/>
    <cellStyle name="资产 2 2 2 2 2 2" xfId="5103"/>
    <cellStyle name="资产 2 2 2 2 2 2 2" xfId="6830"/>
    <cellStyle name="资产 2 2 2 2 2 3" xfId="6046"/>
    <cellStyle name="资产 2 2 2 2 3" xfId="4483"/>
    <cellStyle name="资产 2 2 2 2 3 2" xfId="6529"/>
    <cellStyle name="资产 2 2 2 2 4" xfId="5703"/>
    <cellStyle name="资产 2 2 2 3" xfId="3147"/>
    <cellStyle name="资产 2 2 2 3 2" xfId="4621"/>
    <cellStyle name="资产 2 2 2 3 2 2" xfId="6634"/>
    <cellStyle name="资产 2 2 2 3 3" xfId="5819"/>
    <cellStyle name="资产 2 2 2 4" xfId="3120"/>
    <cellStyle name="资产 2 2 2 4 2" xfId="4594"/>
    <cellStyle name="资产 2 2 2 4 2 2" xfId="6615"/>
    <cellStyle name="资产 2 2 2 4 3" xfId="5796"/>
    <cellStyle name="资产 2 2 2 5" xfId="3341"/>
    <cellStyle name="资产 2 2 2 5 2" xfId="4815"/>
    <cellStyle name="资产 2 2 2 5 2 2" xfId="6700"/>
    <cellStyle name="资产 2 2 2 5 3" xfId="5885"/>
    <cellStyle name="资产 2 2 2 6" xfId="3913"/>
    <cellStyle name="资产 2 2 2 6 2" xfId="6153"/>
    <cellStyle name="资产 2 2 2 7" xfId="5277"/>
    <cellStyle name="资产 2 2 3" xfId="2671"/>
    <cellStyle name="资产 2 2 3 2" xfId="3461"/>
    <cellStyle name="资产 2 2 3 2 2" xfId="4932"/>
    <cellStyle name="资产 2 2 3 2 2 2" xfId="6750"/>
    <cellStyle name="资产 2 2 3 2 3" xfId="5946"/>
    <cellStyle name="资产 2 2 3 3" xfId="4167"/>
    <cellStyle name="资产 2 2 3 3 2" xfId="6318"/>
    <cellStyle name="资产 2 2 3 4" xfId="5457"/>
    <cellStyle name="资产 2 2 4" xfId="2788"/>
    <cellStyle name="资产 2 2 4 2" xfId="4278"/>
    <cellStyle name="资产 2 2 4 2 2" xfId="6389"/>
    <cellStyle name="资产 2 2 4 3" xfId="5534"/>
    <cellStyle name="资产 2 2 5" xfId="2884"/>
    <cellStyle name="资产 2 2 5 2" xfId="4373"/>
    <cellStyle name="资产 2 2 5 2 2" xfId="6465"/>
    <cellStyle name="资产 2 2 5 3" xfId="5615"/>
    <cellStyle name="资产 2 2 6" xfId="3250"/>
    <cellStyle name="资产 2 2 6 2" xfId="4724"/>
    <cellStyle name="资产 2 2 6 2 2" xfId="6689"/>
    <cellStyle name="资产 2 2 6 3" xfId="5874"/>
    <cellStyle name="资产 2 2 7" xfId="3763"/>
    <cellStyle name="资产 2 2 7 2" xfId="6092"/>
    <cellStyle name="资产 2 2 8" xfId="5180"/>
    <cellStyle name="资产 2 3" xfId="2307"/>
    <cellStyle name="资产 2 3 2" xfId="2920"/>
    <cellStyle name="资产 2 3 2 2" xfId="3569"/>
    <cellStyle name="资产 2 3 2 2 2" xfId="5037"/>
    <cellStyle name="资产 2 3 2 2 2 2" xfId="6798"/>
    <cellStyle name="资产 2 3 2 2 3" xfId="6005"/>
    <cellStyle name="资产 2 3 2 3" xfId="4405"/>
    <cellStyle name="资产 2 3 2 3 2" xfId="6485"/>
    <cellStyle name="资产 2 3 2 4" xfId="5644"/>
    <cellStyle name="资产 2 3 3" xfId="3051"/>
    <cellStyle name="资产 2 3 3 2" xfId="4525"/>
    <cellStyle name="资产 2 3 3 2 2" xfId="6553"/>
    <cellStyle name="资产 2 3 3 3" xfId="5729"/>
    <cellStyle name="资产 2 3 4" xfId="2599"/>
    <cellStyle name="资产 2 3 4 2" xfId="4097"/>
    <cellStyle name="资产 2 3 4 2 2" xfId="6271"/>
    <cellStyle name="资产 2 3 4 3" xfId="5404"/>
    <cellStyle name="资产 2 3 5" xfId="3304"/>
    <cellStyle name="资产 2 3 5 2" xfId="4778"/>
    <cellStyle name="资产 2 3 5 2 2" xfId="6695"/>
    <cellStyle name="资产 2 3 5 3" xfId="5880"/>
    <cellStyle name="资产 2 3 6" xfId="3856"/>
    <cellStyle name="资产 2 3 6 2" xfId="6131"/>
    <cellStyle name="资产 2 3 7" xfId="5238"/>
    <cellStyle name="资产 2 4" xfId="2564"/>
    <cellStyle name="资产 2 4 2" xfId="3392"/>
    <cellStyle name="资产 2 4 2 2" xfId="4866"/>
    <cellStyle name="资产 2 4 2 2 2" xfId="6722"/>
    <cellStyle name="资产 2 4 2 3" xfId="5912"/>
    <cellStyle name="资产 2 4 3" xfId="4062"/>
    <cellStyle name="资产 2 4 3 2" xfId="6253"/>
    <cellStyle name="资产 2 4 4" xfId="5386"/>
    <cellStyle name="资产 2 5" xfId="2853"/>
    <cellStyle name="资产 2 5 2" xfId="4342"/>
    <cellStyle name="资产 2 5 2 2" xfId="6447"/>
    <cellStyle name="资产 2 5 3" xfId="5594"/>
    <cellStyle name="资产 2 6" xfId="2821"/>
    <cellStyle name="资产 2 6 2" xfId="4311"/>
    <cellStyle name="资产 2 6 2 2" xfId="6418"/>
    <cellStyle name="资产 2 6 3" xfId="5564"/>
    <cellStyle name="资产 2 7" xfId="3210"/>
    <cellStyle name="资产 2 7 2" xfId="4684"/>
    <cellStyle name="资产 2 7 2 2" xfId="6683"/>
    <cellStyle name="资产 2 7 3" xfId="5868"/>
    <cellStyle name="资产 2 8" xfId="3701"/>
    <cellStyle name="资产 2 8 2" xfId="6067"/>
    <cellStyle name="资产 3" xfId="474"/>
    <cellStyle name="资产 3 2" xfId="678"/>
    <cellStyle name="资产 3 2 2" xfId="2424"/>
    <cellStyle name="资产 3 2 2 2" xfId="3016"/>
    <cellStyle name="资产 3 2 2 2 2" xfId="3650"/>
    <cellStyle name="资产 3 2 2 2 2 2" xfId="5111"/>
    <cellStyle name="资产 3 2 2 2 2 2 2" xfId="6831"/>
    <cellStyle name="资产 3 2 2 2 2 3" xfId="6047"/>
    <cellStyle name="资产 3 2 2 2 3" xfId="4492"/>
    <cellStyle name="资产 3 2 2 2 3 2" xfId="6531"/>
    <cellStyle name="资产 3 2 2 2 4" xfId="5705"/>
    <cellStyle name="资产 3 2 2 3" xfId="3150"/>
    <cellStyle name="资产 3 2 2 3 2" xfId="4624"/>
    <cellStyle name="资产 3 2 2 3 2 2" xfId="6635"/>
    <cellStyle name="资产 3 2 2 3 3" xfId="5820"/>
    <cellStyle name="资产 3 2 2 4" xfId="2461"/>
    <cellStyle name="资产 3 2 2 4 2" xfId="3959"/>
    <cellStyle name="资产 3 2 2 4 2 2" xfId="6169"/>
    <cellStyle name="资产 3 2 2 4 3" xfId="5298"/>
    <cellStyle name="资产 3 2 2 5" xfId="3349"/>
    <cellStyle name="资产 3 2 2 5 2" xfId="4823"/>
    <cellStyle name="资产 3 2 2 5 2 2" xfId="6701"/>
    <cellStyle name="资产 3 2 2 5 3" xfId="5886"/>
    <cellStyle name="资产 3 2 2 6" xfId="3921"/>
    <cellStyle name="资产 3 2 2 6 2" xfId="6154"/>
    <cellStyle name="资产 3 2 2 7" xfId="5278"/>
    <cellStyle name="资产 3 2 3" xfId="2689"/>
    <cellStyle name="资产 3 2 3 2" xfId="3480"/>
    <cellStyle name="资产 3 2 3 2 2" xfId="4950"/>
    <cellStyle name="资产 3 2 3 2 2 2" xfId="6754"/>
    <cellStyle name="资产 3 2 3 2 3" xfId="5951"/>
    <cellStyle name="资产 3 2 3 3" xfId="4184"/>
    <cellStyle name="资产 3 2 3 3 2" xfId="6322"/>
    <cellStyle name="资产 3 2 3 4" xfId="5462"/>
    <cellStyle name="资产 3 2 4" xfId="2454"/>
    <cellStyle name="资产 3 2 4 2" xfId="3952"/>
    <cellStyle name="资产 3 2 4 2 2" xfId="6164"/>
    <cellStyle name="资产 3 2 4 3" xfId="5291"/>
    <cellStyle name="资产 3 2 5" xfId="2644"/>
    <cellStyle name="资产 3 2 5 2" xfId="4141"/>
    <cellStyle name="资产 3 2 5 2 2" xfId="6297"/>
    <cellStyle name="资产 3 2 5 3" xfId="5432"/>
    <cellStyle name="资产 3 2 6" xfId="3265"/>
    <cellStyle name="资产 3 2 6 2" xfId="4739"/>
    <cellStyle name="资产 3 2 6 2 2" xfId="6690"/>
    <cellStyle name="资产 3 2 6 3" xfId="5875"/>
    <cellStyle name="资产 3 2 7" xfId="3778"/>
    <cellStyle name="资产 3 2 7 2" xfId="6094"/>
    <cellStyle name="资产 3 2 8" xfId="5186"/>
    <cellStyle name="资产 3 3" xfId="2318"/>
    <cellStyle name="资产 3 3 2" xfId="2928"/>
    <cellStyle name="资产 3 3 2 2" xfId="3575"/>
    <cellStyle name="资产 3 3 2 2 2" xfId="5043"/>
    <cellStyle name="资产 3 3 2 2 2 2" xfId="6801"/>
    <cellStyle name="资产 3 3 2 2 3" xfId="6008"/>
    <cellStyle name="资产 3 3 2 3" xfId="4412"/>
    <cellStyle name="资产 3 3 2 3 2" xfId="6489"/>
    <cellStyle name="资产 3 3 2 4" xfId="5649"/>
    <cellStyle name="资产 3 3 3" xfId="3052"/>
    <cellStyle name="资产 3 3 3 2" xfId="4526"/>
    <cellStyle name="资产 3 3 3 2 2" xfId="6554"/>
    <cellStyle name="资产 3 3 3 3" xfId="5730"/>
    <cellStyle name="资产 3 3 4" xfId="3119"/>
    <cellStyle name="资产 3 3 4 2" xfId="4593"/>
    <cellStyle name="资产 3 3 4 2 2" xfId="6614"/>
    <cellStyle name="资产 3 3 4 3" xfId="5795"/>
    <cellStyle name="资产 3 3 5" xfId="3308"/>
    <cellStyle name="资产 3 3 5 2" xfId="4782"/>
    <cellStyle name="资产 3 3 5 2 2" xfId="6696"/>
    <cellStyle name="资产 3 3 5 3" xfId="5881"/>
    <cellStyle name="资产 3 3 6" xfId="3861"/>
    <cellStyle name="资产 3 3 6 2" xfId="6133"/>
    <cellStyle name="资产 3 3 7" xfId="5240"/>
    <cellStyle name="资产 3 4" xfId="2595"/>
    <cellStyle name="资产 3 4 2" xfId="3408"/>
    <cellStyle name="资产 3 4 2 2" xfId="4882"/>
    <cellStyle name="资产 3 4 2 2 2" xfId="6724"/>
    <cellStyle name="资产 3 4 2 3" xfId="5914"/>
    <cellStyle name="资产 3 4 3" xfId="4093"/>
    <cellStyle name="资产 3 4 3 2" xfId="6269"/>
    <cellStyle name="资产 3 4 4" xfId="5402"/>
    <cellStyle name="资产 3 5" xfId="2946"/>
    <cellStyle name="资产 3 5 2" xfId="4429"/>
    <cellStyle name="资产 3 5 2 2" xfId="6503"/>
    <cellStyle name="资产 3 5 3" xfId="5664"/>
    <cellStyle name="资产 3 6" xfId="2861"/>
    <cellStyle name="资产 3 6 2" xfId="4350"/>
    <cellStyle name="资产 3 6 2 2" xfId="6454"/>
    <cellStyle name="资产 3 6 3" xfId="5601"/>
    <cellStyle name="资产 3 7" xfId="3225"/>
    <cellStyle name="资产 3 7 2" xfId="4699"/>
    <cellStyle name="资产 3 7 2 2" xfId="6685"/>
    <cellStyle name="资产 3 7 3" xfId="5870"/>
    <cellStyle name="资产 3 8" xfId="3717"/>
    <cellStyle name="资产 3 8 2" xfId="6069"/>
    <cellStyle name="资产 4" xfId="577"/>
    <cellStyle name="资产 4 2" xfId="701"/>
    <cellStyle name="资产 4 2 2" xfId="2439"/>
    <cellStyle name="资产 4 2 2 2" xfId="3031"/>
    <cellStyle name="资产 4 2 2 2 2" xfId="3665"/>
    <cellStyle name="资产 4 2 2 2 2 2" xfId="5125"/>
    <cellStyle name="资产 4 2 2 2 2 2 2" xfId="6841"/>
    <cellStyle name="资产 4 2 2 2 2 3" xfId="6058"/>
    <cellStyle name="资产 4 2 2 2 3" xfId="4505"/>
    <cellStyle name="资产 4 2 2 2 3 2" xfId="6540"/>
    <cellStyle name="资产 4 2 2 2 4" xfId="5716"/>
    <cellStyle name="资产 4 2 2 3" xfId="3160"/>
    <cellStyle name="资产 4 2 2 3 2" xfId="4634"/>
    <cellStyle name="资产 4 2 2 3 2 2" xfId="6645"/>
    <cellStyle name="资产 4 2 2 3 3" xfId="5830"/>
    <cellStyle name="资产 4 2 2 4" xfId="3187"/>
    <cellStyle name="资产 4 2 2 4 2" xfId="4661"/>
    <cellStyle name="资产 4 2 2 4 2 2" xfId="6669"/>
    <cellStyle name="资产 4 2 2 4 3" xfId="5854"/>
    <cellStyle name="资产 4 2 2 5" xfId="3354"/>
    <cellStyle name="资产 4 2 2 5 2" xfId="4828"/>
    <cellStyle name="资产 4 2 2 5 2 2" xfId="6702"/>
    <cellStyle name="资产 4 2 2 5 3" xfId="5887"/>
    <cellStyle name="资产 4 2 2 6" xfId="3932"/>
    <cellStyle name="资产 4 2 2 6 2" xfId="6161"/>
    <cellStyle name="资产 4 2 2 7" xfId="5288"/>
    <cellStyle name="资产 4 2 3" xfId="2712"/>
    <cellStyle name="资产 4 2 3 2" xfId="3499"/>
    <cellStyle name="资产 4 2 3 2 2" xfId="4969"/>
    <cellStyle name="资产 4 2 3 2 2 2" xfId="6764"/>
    <cellStyle name="资产 4 2 3 2 3" xfId="5961"/>
    <cellStyle name="资产 4 2 3 3" xfId="4203"/>
    <cellStyle name="资产 4 2 3 3 2" xfId="6332"/>
    <cellStyle name="资产 4 2 3 4" xfId="5472"/>
    <cellStyle name="资产 4 2 4" xfId="2780"/>
    <cellStyle name="资产 4 2 4 2" xfId="4270"/>
    <cellStyle name="资产 4 2 4 2 2" xfId="6382"/>
    <cellStyle name="资产 4 2 4 3" xfId="5527"/>
    <cellStyle name="资产 4 2 5" xfId="2811"/>
    <cellStyle name="资产 4 2 5 2" xfId="4301"/>
    <cellStyle name="资产 4 2 5 2 2" xfId="6410"/>
    <cellStyle name="资产 4 2 5 3" xfId="5555"/>
    <cellStyle name="资产 4 2 6" xfId="3275"/>
    <cellStyle name="资产 4 2 6 2" xfId="4749"/>
    <cellStyle name="资产 4 2 6 2 2" xfId="6691"/>
    <cellStyle name="资产 4 2 6 3" xfId="5876"/>
    <cellStyle name="资产 4 2 7" xfId="3795"/>
    <cellStyle name="资产 4 2 7 2" xfId="6102"/>
    <cellStyle name="资产 4 2 8" xfId="5196"/>
    <cellStyle name="资产 4 3" xfId="2351"/>
    <cellStyle name="资产 4 3 2" xfId="2947"/>
    <cellStyle name="资产 4 3 2 2" xfId="3587"/>
    <cellStyle name="资产 4 3 2 2 2" xfId="5055"/>
    <cellStyle name="资产 4 3 2 2 2 2" xfId="6810"/>
    <cellStyle name="资产 4 3 2 2 3" xfId="6017"/>
    <cellStyle name="资产 4 3 2 3" xfId="4430"/>
    <cellStyle name="资产 4 3 2 3 2" xfId="6504"/>
    <cellStyle name="资产 4 3 2 4" xfId="5665"/>
    <cellStyle name="资产 4 3 3" xfId="3121"/>
    <cellStyle name="资产 4 3 3 2" xfId="4595"/>
    <cellStyle name="资产 4 3 3 2 2" xfId="6616"/>
    <cellStyle name="资产 4 3 3 3" xfId="5797"/>
    <cellStyle name="资产 4 3 4" xfId="3045"/>
    <cellStyle name="资产 4 3 4 2" xfId="4519"/>
    <cellStyle name="资产 4 3 4 2 2" xfId="6547"/>
    <cellStyle name="资产 4 3 4 3" xfId="5723"/>
    <cellStyle name="资产 4 3 5" xfId="3312"/>
    <cellStyle name="资产 4 3 5 2" xfId="4786"/>
    <cellStyle name="资产 4 3 5 2 2" xfId="6697"/>
    <cellStyle name="资产 4 3 5 3" xfId="5882"/>
    <cellStyle name="资产 4 3 6" xfId="3873"/>
    <cellStyle name="资产 4 3 6 2" xfId="6141"/>
    <cellStyle name="资产 4 3 7" xfId="5248"/>
    <cellStyle name="资产 4 4" xfId="2630"/>
    <cellStyle name="资产 4 4 2" xfId="3428"/>
    <cellStyle name="资产 4 4 2 2" xfId="4901"/>
    <cellStyle name="资产 4 4 2 2 2" xfId="6734"/>
    <cellStyle name="资产 4 4 2 3" xfId="5925"/>
    <cellStyle name="资产 4 4 3" xfId="4127"/>
    <cellStyle name="资产 4 4 3 2" xfId="6292"/>
    <cellStyle name="资产 4 4 4" xfId="5426"/>
    <cellStyle name="资产 4 5" xfId="2806"/>
    <cellStyle name="资产 4 5 2" xfId="4296"/>
    <cellStyle name="资产 4 5 2 2" xfId="6405"/>
    <cellStyle name="资产 4 5 3" xfId="5550"/>
    <cellStyle name="资产 4 6" xfId="3015"/>
    <cellStyle name="资产 4 6 2" xfId="4491"/>
    <cellStyle name="资产 4 6 2 2" xfId="6530"/>
    <cellStyle name="资产 4 6 3" xfId="5704"/>
    <cellStyle name="资产 4 7" xfId="3236"/>
    <cellStyle name="资产 4 7 2" xfId="4710"/>
    <cellStyle name="资产 4 7 2 2" xfId="6687"/>
    <cellStyle name="资产 4 7 3" xfId="5872"/>
    <cellStyle name="资产 4 8" xfId="3735"/>
    <cellStyle name="资产 4 8 2" xfId="6078"/>
    <cellStyle name="资产 4 9" xfId="5157"/>
    <cellStyle name="资产 5" xfId="602"/>
    <cellStyle name="资产 5 2" xfId="2405"/>
    <cellStyle name="资产 5 2 2" xfId="2998"/>
    <cellStyle name="资产 5 2 2 2" xfId="3634"/>
    <cellStyle name="资产 5 2 2 2 2" xfId="5096"/>
    <cellStyle name="资产 5 2 2 2 2 2" xfId="6826"/>
    <cellStyle name="资产 5 2 2 2 3" xfId="6039"/>
    <cellStyle name="资产 5 2 2 3" xfId="4476"/>
    <cellStyle name="资产 5 2 2 3 2" xfId="6525"/>
    <cellStyle name="资产 5 2 2 4" xfId="5695"/>
    <cellStyle name="资产 5 2 3" xfId="2476"/>
    <cellStyle name="资产 5 2 3 2" xfId="3974"/>
    <cellStyle name="资产 5 2 3 2 2" xfId="6182"/>
    <cellStyle name="资产 5 2 3 3" xfId="5311"/>
    <cellStyle name="资产 5 2 4" xfId="2874"/>
    <cellStyle name="资产 5 2 4 2" xfId="4363"/>
    <cellStyle name="资产 5 2 4 2 2" xfId="6460"/>
    <cellStyle name="资产 5 2 4 3" xfId="5609"/>
    <cellStyle name="资产 5 2 5" xfId="3339"/>
    <cellStyle name="资产 5 2 5 2" xfId="4813"/>
    <cellStyle name="资产 5 2 5 2 2" xfId="6699"/>
    <cellStyle name="资产 5 2 5 3" xfId="5884"/>
    <cellStyle name="资产 5 2 6" xfId="3909"/>
    <cellStyle name="资产 5 2 6 2" xfId="6152"/>
    <cellStyle name="资产 5 2 7" xfId="5270"/>
    <cellStyle name="资产 5 3" xfId="2296"/>
    <cellStyle name="资产 5 3 2" xfId="2909"/>
    <cellStyle name="资产 5 3 2 2" xfId="3559"/>
    <cellStyle name="资产 5 3 2 2 2" xfId="5027"/>
    <cellStyle name="资产 5 3 2 2 2 2" xfId="6790"/>
    <cellStyle name="资产 5 3 2 2 3" xfId="5995"/>
    <cellStyle name="资产 5 3 2 3" xfId="4395"/>
    <cellStyle name="资产 5 3 2 3 2" xfId="6478"/>
    <cellStyle name="资产 5 3 2 4" xfId="5633"/>
    <cellStyle name="资产 5 3 3" xfId="3064"/>
    <cellStyle name="资产 5 3 3 2" xfId="4538"/>
    <cellStyle name="资产 5 3 3 2 2" xfId="6565"/>
    <cellStyle name="资产 5 3 3 3" xfId="5742"/>
    <cellStyle name="资产 5 3 4" xfId="2734"/>
    <cellStyle name="资产 5 3 4 2" xfId="4224"/>
    <cellStyle name="资产 5 3 4 2 2" xfId="6343"/>
    <cellStyle name="资产 5 3 4 3" xfId="5486"/>
    <cellStyle name="资产 5 3 5" xfId="3303"/>
    <cellStyle name="资产 5 3 5 2" xfId="4777"/>
    <cellStyle name="资产 5 3 5 2 2" xfId="6694"/>
    <cellStyle name="资产 5 3 5 3" xfId="5879"/>
    <cellStyle name="资产 5 3 6" xfId="3847"/>
    <cellStyle name="资产 5 3 6 2" xfId="6124"/>
    <cellStyle name="资产 5 3 7" xfId="5229"/>
    <cellStyle name="资产 5 4" xfId="2650"/>
    <cellStyle name="资产 5 4 2" xfId="3447"/>
    <cellStyle name="资产 5 4 2 2" xfId="4920"/>
    <cellStyle name="资产 5 4 2 2 2" xfId="6741"/>
    <cellStyle name="资产 5 4 2 3" xfId="5934"/>
    <cellStyle name="资产 5 4 3" xfId="4147"/>
    <cellStyle name="资产 5 4 3 2" xfId="6301"/>
    <cellStyle name="资产 5 4 4" xfId="5437"/>
    <cellStyle name="资产 5 5" xfId="2507"/>
    <cellStyle name="资产 5 5 2" xfId="4005"/>
    <cellStyle name="资产 5 5 2 2" xfId="6206"/>
    <cellStyle name="资产 5 5 3" xfId="5336"/>
    <cellStyle name="资产 5 6" xfId="3048"/>
    <cellStyle name="资产 5 6 2" xfId="4522"/>
    <cellStyle name="资产 5 6 2 2" xfId="6550"/>
    <cellStyle name="资产 5 6 3" xfId="5726"/>
    <cellStyle name="资产 5 7" xfId="3247"/>
    <cellStyle name="资产 5 7 2" xfId="4721"/>
    <cellStyle name="资产 5 7 2 2" xfId="6688"/>
    <cellStyle name="资产 5 7 3" xfId="5873"/>
    <cellStyle name="资产 5 8" xfId="3753"/>
    <cellStyle name="资产 5 8 2" xfId="6085"/>
    <cellStyle name="资产 5 9" xfId="5166"/>
    <cellStyle name="资产 6" xfId="716"/>
    <cellStyle name="资产 6 2" xfId="2365"/>
    <cellStyle name="资产 6 2 2" xfId="2961"/>
    <cellStyle name="资产 6 2 2 2" xfId="3597"/>
    <cellStyle name="资产 6 2 2 2 2" xfId="5064"/>
    <cellStyle name="资产 6 2 2 2 2 2" xfId="6815"/>
    <cellStyle name="资产 6 2 2 2 3" xfId="6025"/>
    <cellStyle name="资产 6 2 2 3" xfId="4441"/>
    <cellStyle name="资产 6 2 2 3 2" xfId="6511"/>
    <cellStyle name="资产 6 2 2 4" xfId="5677"/>
    <cellStyle name="资产 6 2 3" xfId="2847"/>
    <cellStyle name="资产 6 2 3 2" xfId="4336"/>
    <cellStyle name="资产 6 2 3 2 2" xfId="6442"/>
    <cellStyle name="资产 6 2 3 3" xfId="5589"/>
    <cellStyle name="资产 6 2 4" xfId="3090"/>
    <cellStyle name="资产 6 2 4 2" xfId="4564"/>
    <cellStyle name="资产 6 2 4 2 2" xfId="6588"/>
    <cellStyle name="资产 6 2 4 3" xfId="5767"/>
    <cellStyle name="资产 6 2 5" xfId="3315"/>
    <cellStyle name="资产 6 2 5 2" xfId="4789"/>
    <cellStyle name="资产 6 2 5 2 2" xfId="6698"/>
    <cellStyle name="资产 6 2 5 3" xfId="5883"/>
    <cellStyle name="资产 6 2 6" xfId="3880"/>
    <cellStyle name="资产 6 2 6 2" xfId="6144"/>
    <cellStyle name="资产 6 2 7" xfId="5256"/>
    <cellStyle name="资产 6 3" xfId="2727"/>
    <cellStyle name="资产 6 3 2" xfId="3514"/>
    <cellStyle name="资产 6 3 2 2" xfId="4984"/>
    <cellStyle name="资产 6 3 2 2 2" xfId="6772"/>
    <cellStyle name="资产 6 3 2 3" xfId="5971"/>
    <cellStyle name="资产 6 3 3" xfId="4217"/>
    <cellStyle name="资产 6 3 3 2" xfId="6339"/>
    <cellStyle name="资产 6 3 4" xfId="5482"/>
    <cellStyle name="资产 6 4" xfId="2775"/>
    <cellStyle name="资产 6 4 2" xfId="4265"/>
    <cellStyle name="资产 6 4 2 2" xfId="6377"/>
    <cellStyle name="资产 6 4 3" xfId="5522"/>
    <cellStyle name="资产 6 5" xfId="2838"/>
    <cellStyle name="资产 6 5 2" xfId="4327"/>
    <cellStyle name="资产 6 5 2 2" xfId="6433"/>
    <cellStyle name="资产 6 5 3" xfId="5580"/>
    <cellStyle name="资产 6 6" xfId="3281"/>
    <cellStyle name="资产 6 6 2" xfId="4755"/>
    <cellStyle name="资产 6 6 2 2" xfId="6692"/>
    <cellStyle name="资产 6 6 3" xfId="5877"/>
    <cellStyle name="资产 6 7" xfId="3809"/>
    <cellStyle name="资产 6 7 2" xfId="6109"/>
    <cellStyle name="资产 6 8" xfId="5206"/>
    <cellStyle name="资产 7" xfId="754"/>
    <cellStyle name="资产 7 2" xfId="2748"/>
    <cellStyle name="资产 7 2 2" xfId="3528"/>
    <cellStyle name="资产 7 2 2 2" xfId="4998"/>
    <cellStyle name="资产 7 2 2 2 2" xfId="6780"/>
    <cellStyle name="资产 7 2 2 3" xfId="5981"/>
    <cellStyle name="资产 7 2 3" xfId="4238"/>
    <cellStyle name="资产 7 2 3 2" xfId="6353"/>
    <cellStyle name="资产 7 2 4" xfId="5498"/>
    <cellStyle name="资产 7 3" xfId="2846"/>
    <cellStyle name="资产 7 3 2" xfId="4335"/>
    <cellStyle name="资产 7 3 2 2" xfId="6441"/>
    <cellStyle name="资产 7 3 3" xfId="5588"/>
    <cellStyle name="资产 7 4" xfId="3173"/>
    <cellStyle name="资产 7 4 2" xfId="4647"/>
    <cellStyle name="资产 7 4 2 2" xfId="6658"/>
    <cellStyle name="资产 7 4 3" xfId="5843"/>
    <cellStyle name="资产 7 5" xfId="3286"/>
    <cellStyle name="资产 7 5 2" xfId="4760"/>
    <cellStyle name="资产 7 5 2 2" xfId="6693"/>
    <cellStyle name="资产 7 5 3" xfId="5878"/>
    <cellStyle name="资产 7 6" xfId="3823"/>
    <cellStyle name="资产 7 6 2" xfId="6117"/>
    <cellStyle name="资产 7 7" xfId="5216"/>
    <cellStyle name="资产 8" xfId="2537"/>
    <cellStyle name="资产 8 2" xfId="3378"/>
    <cellStyle name="资产 8 2 2" xfId="4852"/>
    <cellStyle name="资产 8 2 2 2" xfId="6710"/>
    <cellStyle name="资产 8 2 3" xfId="5898"/>
    <cellStyle name="资产 8 3" xfId="4035"/>
    <cellStyle name="资产 8 3 2" xfId="6231"/>
    <cellStyle name="资产 8 4" xfId="5362"/>
    <cellStyle name="资产 9" xfId="3201"/>
    <cellStyle name="资产 9 2" xfId="4675"/>
    <cellStyle name="资产 9 2 2" xfId="6676"/>
    <cellStyle name="资产 9 3" xfId="5861"/>
    <cellStyle name="适中" xfId="317"/>
    <cellStyle name="适中 2" xfId="389"/>
    <cellStyle name="适中 2 2" xfId="638"/>
    <cellStyle name="适中 2 3" xfId="2189"/>
    <cellStyle name="适中 3" xfId="455"/>
    <cellStyle name="崔矾" xfId="2190"/>
    <cellStyle name="常规 2" xfId="497"/>
    <cellStyle name="常规 2 2" xfId="571"/>
    <cellStyle name="常规 2 2 2" xfId="721"/>
    <cellStyle name="常规 2 3" xfId="719"/>
    <cellStyle name="常规 2 3 2" xfId="2326"/>
    <cellStyle name="常规 2 4" xfId="2367"/>
    <cellStyle name="常规 2 4 2" xfId="2963"/>
    <cellStyle name="常规 2 4 2 2" xfId="3599"/>
    <cellStyle name="常规 2 4 2 2 2" xfId="5066"/>
    <cellStyle name="常规 2 4 2 3" xfId="4443"/>
    <cellStyle name="常规 2 4 3" xfId="3317"/>
    <cellStyle name="常规 2 4 3 2" xfId="4791"/>
    <cellStyle name="常规 2 4 4" xfId="3882"/>
    <cellStyle name="常规 2 5" xfId="756"/>
    <cellStyle name="常规 2 5 2" xfId="2750"/>
    <cellStyle name="常规 2 5 2 2" xfId="3530"/>
    <cellStyle name="常规 2 5 2 2 2" xfId="5000"/>
    <cellStyle name="常规 2 5 2 3" xfId="4240"/>
    <cellStyle name="常规 2 5 3" xfId="3288"/>
    <cellStyle name="常规 2 5 3 2" xfId="4762"/>
    <cellStyle name="常规 2 5 4" xfId="3825"/>
    <cellStyle name="常规 3" xfId="500"/>
    <cellStyle name="常规 3 2" xfId="729"/>
    <cellStyle name="常规 4" xfId="489"/>
    <cellStyle name="常规 4 3" xfId="493"/>
    <cellStyle name="常规 5" xfId="522"/>
    <cellStyle name="常规 6" xfId="538"/>
    <cellStyle name="常规 7" xfId="572"/>
    <cellStyle name="常规_(Z1) 资产负债表(企财01表)" xfId="555"/>
    <cellStyle name="检查单元格" xfId="348"/>
    <cellStyle name="检查单元格 2" xfId="405"/>
    <cellStyle name="检查单元格 2 2" xfId="654"/>
    <cellStyle name="检查单元格 2 3" xfId="2250"/>
    <cellStyle name="检查单元格 3" xfId="471"/>
    <cellStyle name="烹拳 [0]_(type)醚褒" xfId="2191"/>
    <cellStyle name="烹拳_(type)醚褒" xfId="2192"/>
    <cellStyle name="貨幣 2" xfId="2715"/>
    <cellStyle name="貨幣 2 2" xfId="3502"/>
    <cellStyle name="貨幣 2 2 2" xfId="4972"/>
    <cellStyle name="貨幣 2 3" xfId="4206"/>
    <cellStyle name="貨幣 3" xfId="3278"/>
    <cellStyle name="貨幣 3 2" xfId="4752"/>
    <cellStyle name="貨幣 4" xfId="3798"/>
    <cellStyle name="貨幣[0]_cashflow" xfId="2193"/>
    <cellStyle name="通貨 [0.00]_１１月価格表" xfId="318"/>
    <cellStyle name="通貨_１１月価格表" xfId="319"/>
    <cellStyle name="都寞_1999爛笢惆桶訧蹋" xfId="2194"/>
    <cellStyle name="閉撰蟈諉" xfId="2195"/>
    <cellStyle name="强调文字颜色 1" xfId="320"/>
    <cellStyle name="强调文字颜色 1 2" xfId="390"/>
    <cellStyle name="强调文字颜色 1 2 2" xfId="639"/>
    <cellStyle name="强调文字颜色 1 2 3" xfId="2238"/>
    <cellStyle name="强调文字颜色 1 3" xfId="456"/>
    <cellStyle name="强调文字颜色 2" xfId="321"/>
    <cellStyle name="强调文字颜色 2 2" xfId="391"/>
    <cellStyle name="强调文字颜色 2 2 2" xfId="640"/>
    <cellStyle name="强调文字颜色 2 2 3" xfId="2239"/>
    <cellStyle name="强调文字颜色 2 3" xfId="457"/>
    <cellStyle name="强调文字颜色 3" xfId="322"/>
    <cellStyle name="强调文字颜色 3 2" xfId="392"/>
    <cellStyle name="强调文字颜色 3 2 2" xfId="641"/>
    <cellStyle name="强调文字颜色 3 2 3" xfId="2240"/>
    <cellStyle name="强调文字颜色 3 3" xfId="458"/>
    <cellStyle name="强调文字颜色 4" xfId="323"/>
    <cellStyle name="强调文字颜色 4 2" xfId="393"/>
    <cellStyle name="强调文字颜色 4 2 2" xfId="642"/>
    <cellStyle name="强调文字颜色 4 2 3" xfId="2241"/>
    <cellStyle name="强调文字颜色 4 3" xfId="459"/>
    <cellStyle name="强调文字颜色 5" xfId="324"/>
    <cellStyle name="强调文字颜色 5 2" xfId="394"/>
    <cellStyle name="强调文字颜色 5 2 2" xfId="643"/>
    <cellStyle name="强调文字颜色 5 2 3" xfId="2242"/>
    <cellStyle name="强调文字颜色 5 3" xfId="460"/>
    <cellStyle name="强调文字颜色 6" xfId="325"/>
    <cellStyle name="强调文字颜色 6 2" xfId="395"/>
    <cellStyle name="强调文字颜色 6 2 2" xfId="644"/>
    <cellStyle name="强调文字颜色 6 2 3" xfId="2243"/>
    <cellStyle name="强调文字颜色 6 3" xfId="461"/>
    <cellStyle name="普通_ 白土" xfId="326"/>
    <cellStyle name="朝楼" xfId="2196"/>
    <cellStyle name="欺季飘" xfId="2197"/>
    <cellStyle name="超级链接" xfId="2198"/>
    <cellStyle name="超連結 2" xfId="490"/>
    <cellStyle name="超連結(D0" xfId="327"/>
    <cellStyle name="超链接 2" xfId="540"/>
    <cellStyle name="超链接 2 2" xfId="2335"/>
    <cellStyle name="超链接 2 3" xfId="2279"/>
    <cellStyle name="超链接_Financial Dec 31 2007-Palm Rich Holding Limited 2008.03.03" xfId="735"/>
    <cellStyle name="链接单元格" xfId="352"/>
    <cellStyle name="链接单元格 2" xfId="409"/>
    <cellStyle name="链接单元格 2 2" xfId="658"/>
    <cellStyle name="链接单元格 2 2 2" xfId="2443"/>
    <cellStyle name="链接单元格 2 3" xfId="2260"/>
    <cellStyle name="链接单元格 2 3 2" xfId="2891"/>
    <cellStyle name="链接单元格 2 4" xfId="2441"/>
    <cellStyle name="链接单元格 3" xfId="476"/>
    <cellStyle name="链接单元格 3 2" xfId="2445"/>
    <cellStyle name="链接单元格 4" xfId="2299"/>
    <cellStyle name="寘嬫愗傝 [0.00]_RFP003B" xfId="328"/>
    <cellStyle name="寘嬫愗傝_Table5" xfId="329"/>
    <cellStyle name="解释性文本" xfId="330"/>
    <cellStyle name="解释性文本 2" xfId="396"/>
    <cellStyle name="解释性文本 2 2" xfId="645"/>
    <cellStyle name="解释性文本 2 3" xfId="2199"/>
    <cellStyle name="解释性文本 3" xfId="462"/>
    <cellStyle name="输入" xfId="331"/>
    <cellStyle name="输入 2" xfId="397"/>
    <cellStyle name="输入 2 2" xfId="646"/>
    <cellStyle name="输入 2 2 2" xfId="2410"/>
    <cellStyle name="输入 2 2 2 2" xfId="3003"/>
    <cellStyle name="输入 2 2 2 2 2" xfId="3638"/>
    <cellStyle name="输入 2 2 2 2 2 2" xfId="5100"/>
    <cellStyle name="输入 2 2 2 2 2 2 2" xfId="6827"/>
    <cellStyle name="输入 2 2 2 2 2 3" xfId="6042"/>
    <cellStyle name="输入 2 2 2 2 3" xfId="4481"/>
    <cellStyle name="输入 2 2 2 2 3 2" xfId="6527"/>
    <cellStyle name="输入 2 2 2 2 4" xfId="5699"/>
    <cellStyle name="输入 2 2 2 3" xfId="3114"/>
    <cellStyle name="输入 2 2 2 3 2" xfId="4588"/>
    <cellStyle name="输入 2 2 2 3 2 2" xfId="6610"/>
    <cellStyle name="输入 2 2 2 3 3" xfId="5791"/>
    <cellStyle name="输入 2 2 2 4" xfId="2463"/>
    <cellStyle name="输入 2 2 2 4 2" xfId="3961"/>
    <cellStyle name="输入 2 2 2 4 2 2" xfId="6171"/>
    <cellStyle name="输入 2 2 2 4 3" xfId="5300"/>
    <cellStyle name="输入 2 2 2 5" xfId="2993"/>
    <cellStyle name="输入 2 2 2 5 2" xfId="4471"/>
    <cellStyle name="输入 2 2 2 5 2 2" xfId="6524"/>
    <cellStyle name="输入 2 2 2 5 3" xfId="5692"/>
    <cellStyle name="输入 2 2 2 6" xfId="5274"/>
    <cellStyle name="输入 2 2 3" xfId="2667"/>
    <cellStyle name="输入 2 2 3 2" xfId="3457"/>
    <cellStyle name="输入 2 2 3 2 2" xfId="4929"/>
    <cellStyle name="输入 2 2 3 2 2 2" xfId="6748"/>
    <cellStyle name="输入 2 2 3 2 3" xfId="5943"/>
    <cellStyle name="输入 2 2 3 3" xfId="4164"/>
    <cellStyle name="输入 2 2 3 3 2" xfId="6315"/>
    <cellStyle name="输入 2 2 3 4" xfId="5453"/>
    <cellStyle name="输入 2 2 4" xfId="2548"/>
    <cellStyle name="输入 2 2 4 2" xfId="4046"/>
    <cellStyle name="输入 2 2 4 2 2" xfId="6241"/>
    <cellStyle name="输入 2 2 4 3" xfId="5372"/>
    <cellStyle name="输入 2 2 5" xfId="2500"/>
    <cellStyle name="输入 2 2 5 2" xfId="3998"/>
    <cellStyle name="输入 2 2 5 2 2" xfId="6200"/>
    <cellStyle name="输入 2 2 5 3" xfId="5329"/>
    <cellStyle name="输入 2 2 6" xfId="2467"/>
    <cellStyle name="输入 2 2 6 2" xfId="3965"/>
    <cellStyle name="输入 2 2 6 2 2" xfId="6174"/>
    <cellStyle name="输入 2 2 6 3" xfId="5303"/>
    <cellStyle name="输入 2 2 7" xfId="5176"/>
    <cellStyle name="输入 2 3" xfId="2388"/>
    <cellStyle name="输入 2 3 2" xfId="2982"/>
    <cellStyle name="输入 2 3 2 2" xfId="3619"/>
    <cellStyle name="输入 2 3 2 2 2" xfId="5081"/>
    <cellStyle name="输入 2 3 2 2 2 2" xfId="6824"/>
    <cellStyle name="输入 2 3 2 2 3" xfId="6035"/>
    <cellStyle name="输入 2 3 2 3" xfId="4461"/>
    <cellStyle name="输入 2 3 2 3 2" xfId="6523"/>
    <cellStyle name="输入 2 3 2 4" xfId="5690"/>
    <cellStyle name="输入 2 3 3" xfId="3108"/>
    <cellStyle name="输入 2 3 3 2" xfId="4582"/>
    <cellStyle name="输入 2 3 3 2 2" xfId="6605"/>
    <cellStyle name="输入 2 3 3 3" xfId="5785"/>
    <cellStyle name="输入 2 3 4" xfId="2455"/>
    <cellStyle name="输入 2 3 4 2" xfId="3953"/>
    <cellStyle name="输入 2 3 4 2 2" xfId="6165"/>
    <cellStyle name="输入 2 3 4 3" xfId="5292"/>
    <cellStyle name="输入 2 3 5" xfId="2565"/>
    <cellStyle name="输入 2 3 5 2" xfId="4063"/>
    <cellStyle name="输入 2 3 5 2 2" xfId="6254"/>
    <cellStyle name="输入 2 3 5 3" xfId="5387"/>
    <cellStyle name="输入 2 3 6" xfId="5267"/>
    <cellStyle name="输入 2 4" xfId="2256"/>
    <cellStyle name="输入 2 4 2" xfId="2889"/>
    <cellStyle name="输入 2 4 2 2" xfId="3548"/>
    <cellStyle name="输入 2 4 2 2 2" xfId="5017"/>
    <cellStyle name="输入 2 4 2 2 2 2" xfId="6788"/>
    <cellStyle name="输入 2 4 2 2 3" xfId="5991"/>
    <cellStyle name="输入 2 4 2 3" xfId="4377"/>
    <cellStyle name="输入 2 4 2 3 2" xfId="6468"/>
    <cellStyle name="输入 2 4 2 4" xfId="5620"/>
    <cellStyle name="输入 2 4 3" xfId="3073"/>
    <cellStyle name="输入 2 4 3 2" xfId="4547"/>
    <cellStyle name="输入 2 4 3 2 2" xfId="6572"/>
    <cellStyle name="输入 2 4 3 3" xfId="5750"/>
    <cellStyle name="输入 2 4 4" xfId="3070"/>
    <cellStyle name="输入 2 4 4 2" xfId="4544"/>
    <cellStyle name="输入 2 4 4 2 2" xfId="6569"/>
    <cellStyle name="输入 2 4 4 3" xfId="5747"/>
    <cellStyle name="输入 2 4 5" xfId="3103"/>
    <cellStyle name="输入 2 4 5 2" xfId="4577"/>
    <cellStyle name="输入 2 4 5 2 2" xfId="6600"/>
    <cellStyle name="输入 2 4 5 3" xfId="5780"/>
    <cellStyle name="输入 2 4 6" xfId="5226"/>
    <cellStyle name="输入 2 5" xfId="2560"/>
    <cellStyle name="输入 2 5 2" xfId="3388"/>
    <cellStyle name="输入 2 5 2 2" xfId="4862"/>
    <cellStyle name="输入 2 5 2 2 2" xfId="6718"/>
    <cellStyle name="输入 2 5 2 3" xfId="5908"/>
    <cellStyle name="输入 2 5 3" xfId="4058"/>
    <cellStyle name="输入 2 5 3 2" xfId="6249"/>
    <cellStyle name="输入 2 5 4" xfId="5382"/>
    <cellStyle name="输入 2 6" xfId="2519"/>
    <cellStyle name="输入 2 6 2" xfId="4017"/>
    <cellStyle name="输入 2 6 2 2" xfId="6216"/>
    <cellStyle name="输入 2 6 3" xfId="5347"/>
    <cellStyle name="输入 3" xfId="463"/>
    <cellStyle name="输入 3 2" xfId="673"/>
    <cellStyle name="输入 3 2 2" xfId="2686"/>
    <cellStyle name="输入 3 2 2 2" xfId="3476"/>
    <cellStyle name="输入 3 2 2 2 2" xfId="4947"/>
    <cellStyle name="输入 3 2 2 2 2 2" xfId="6752"/>
    <cellStyle name="输入 3 2 2 2 3" xfId="5948"/>
    <cellStyle name="输入 3 2 2 3" xfId="4182"/>
    <cellStyle name="输入 3 2 2 3 2" xfId="6320"/>
    <cellStyle name="输入 3 2 2 4" xfId="5459"/>
    <cellStyle name="输入 3 2 3" xfId="2820"/>
    <cellStyle name="输入 3 2 3 2" xfId="4310"/>
    <cellStyle name="输入 3 2 3 2 2" xfId="6417"/>
    <cellStyle name="输入 3 2 3 3" xfId="5563"/>
    <cellStyle name="输入 3 2 4" xfId="2785"/>
    <cellStyle name="输入 3 2 4 2" xfId="4275"/>
    <cellStyle name="输入 3 2 4 2 2" xfId="6387"/>
    <cellStyle name="输入 3 2 4 3" xfId="5532"/>
    <cellStyle name="输入 3 2 5" xfId="2845"/>
    <cellStyle name="输入 3 2 5 2" xfId="4334"/>
    <cellStyle name="输入 3 2 5 2 2" xfId="6440"/>
    <cellStyle name="输入 3 2 5 3" xfId="5587"/>
    <cellStyle name="输入 3 2 6" xfId="5182"/>
    <cellStyle name="输入 3 3" xfId="2590"/>
    <cellStyle name="输入 3 3 2" xfId="4088"/>
    <cellStyle name="输入 3 3 2 2" xfId="6264"/>
    <cellStyle name="输入 3 3 3" xfId="5397"/>
    <cellStyle name="输入 3 4" xfId="2509"/>
    <cellStyle name="输入 3 4 2" xfId="4007"/>
    <cellStyle name="输入 3 4 2 2" xfId="6208"/>
    <cellStyle name="输入 3 4 3" xfId="5338"/>
    <cellStyle name="输入 3 5" xfId="3112"/>
    <cellStyle name="输入 3 5 2" xfId="4586"/>
    <cellStyle name="输入 3 5 2 2" xfId="6608"/>
    <cellStyle name="输入 3 5 3" xfId="5789"/>
    <cellStyle name="输入 3 6" xfId="2561"/>
    <cellStyle name="输入 3 6 2" xfId="4059"/>
    <cellStyle name="输入 3 6 2 2" xfId="6250"/>
    <cellStyle name="输入 3 6 3" xfId="5383"/>
    <cellStyle name="输入 3 7" xfId="3168"/>
    <cellStyle name="输入 3 7 2" xfId="4642"/>
    <cellStyle name="输入 3 7 2 2" xfId="6653"/>
    <cellStyle name="输入 3 7 3" xfId="5838"/>
    <cellStyle name="输入 3 8" xfId="5140"/>
    <cellStyle name="输入 4" xfId="556"/>
    <cellStyle name="输入 4 2" xfId="693"/>
    <cellStyle name="输入 4 2 2" xfId="2704"/>
    <cellStyle name="输入 4 2 2 2" xfId="3491"/>
    <cellStyle name="输入 4 2 2 2 2" xfId="4961"/>
    <cellStyle name="输入 4 2 2 2 2 2" xfId="6760"/>
    <cellStyle name="输入 4 2 2 2 3" xfId="5957"/>
    <cellStyle name="输入 4 2 2 3" xfId="4195"/>
    <cellStyle name="输入 4 2 2 3 2" xfId="6328"/>
    <cellStyle name="输入 4 2 2 4" xfId="5468"/>
    <cellStyle name="输入 4 2 3" xfId="2815"/>
    <cellStyle name="输入 4 2 3 2" xfId="4305"/>
    <cellStyle name="输入 4 2 3 2 2" xfId="6413"/>
    <cellStyle name="输入 4 2 3 3" xfId="5559"/>
    <cellStyle name="输入 4 2 4" xfId="2783"/>
    <cellStyle name="输入 4 2 4 2" xfId="4273"/>
    <cellStyle name="输入 4 2 4 2 2" xfId="6385"/>
    <cellStyle name="输入 4 2 4 3" xfId="5530"/>
    <cellStyle name="输入 4 2 5" xfId="2528"/>
    <cellStyle name="输入 4 2 5 2" xfId="4026"/>
    <cellStyle name="输入 4 2 5 2 2" xfId="6222"/>
    <cellStyle name="输入 4 2 5 3" xfId="5353"/>
    <cellStyle name="输入 4 2 6" xfId="5192"/>
    <cellStyle name="输入 4 3" xfId="2619"/>
    <cellStyle name="输入 4 3 2" xfId="4117"/>
    <cellStyle name="输入 4 3 2 2" xfId="6286"/>
    <cellStyle name="输入 4 3 3" xfId="5419"/>
    <cellStyle name="输入 4 4" xfId="2836"/>
    <cellStyle name="输入 4 4 2" xfId="4325"/>
    <cellStyle name="输入 4 4 2 2" xfId="6431"/>
    <cellStyle name="输入 4 4 3" xfId="5578"/>
    <cellStyle name="输入 4 5" xfId="2452"/>
    <cellStyle name="输入 4 5 2" xfId="3950"/>
    <cellStyle name="输入 4 5 2 2" xfId="6163"/>
    <cellStyle name="输入 4 5 3" xfId="5290"/>
    <cellStyle name="输入 4 6" xfId="2798"/>
    <cellStyle name="输入 4 6 2" xfId="4288"/>
    <cellStyle name="输入 4 6 2 2" xfId="6397"/>
    <cellStyle name="输入 4 6 3" xfId="5542"/>
    <cellStyle name="输入 4 7" xfId="3066"/>
    <cellStyle name="输入 4 7 2" xfId="4540"/>
    <cellStyle name="输入 4 7 2 2" xfId="6566"/>
    <cellStyle name="输入 4 7 3" xfId="5744"/>
    <cellStyle name="输入 4 8" xfId="5150"/>
    <cellStyle name="输入 5" xfId="542"/>
    <cellStyle name="输入 5 2" xfId="2429"/>
    <cellStyle name="输入 5 2 2" xfId="3021"/>
    <cellStyle name="输入 5 2 2 2" xfId="3655"/>
    <cellStyle name="输入 5 2 2 2 2" xfId="5116"/>
    <cellStyle name="输入 5 2 2 2 2 2" xfId="6832"/>
    <cellStyle name="输入 5 2 2 2 3" xfId="6048"/>
    <cellStyle name="输入 5 2 2 3" xfId="4497"/>
    <cellStyle name="输入 5 2 2 3 2" xfId="6532"/>
    <cellStyle name="输入 5 2 2 4" xfId="5706"/>
    <cellStyle name="输入 5 2 3" xfId="3123"/>
    <cellStyle name="输入 5 2 3 2" xfId="4597"/>
    <cellStyle name="输入 5 2 3 2 2" xfId="6618"/>
    <cellStyle name="输入 5 2 3 3" xfId="5799"/>
    <cellStyle name="输入 5 2 4" xfId="3151"/>
    <cellStyle name="输入 5 2 4 2" xfId="4625"/>
    <cellStyle name="输入 5 2 4 2 2" xfId="6636"/>
    <cellStyle name="输入 5 2 4 3" xfId="5821"/>
    <cellStyle name="输入 5 2 5" xfId="3167"/>
    <cellStyle name="输入 5 2 5 2" xfId="4641"/>
    <cellStyle name="输入 5 2 5 2 2" xfId="6652"/>
    <cellStyle name="输入 5 2 5 3" xfId="5837"/>
    <cellStyle name="输入 5 2 6" xfId="5279"/>
    <cellStyle name="输入 5 3" xfId="2610"/>
    <cellStyle name="输入 5 3 2" xfId="3414"/>
    <cellStyle name="输入 5 3 2 2" xfId="4888"/>
    <cellStyle name="输入 5 3 2 2 2" xfId="6725"/>
    <cellStyle name="输入 5 3 2 3" xfId="5915"/>
    <cellStyle name="输入 5 3 3" xfId="4108"/>
    <cellStyle name="输入 5 3 3 2" xfId="6277"/>
    <cellStyle name="输入 5 3 4" xfId="5410"/>
    <cellStyle name="输入 5 4" xfId="2907"/>
    <cellStyle name="输入 5 4 2" xfId="4393"/>
    <cellStyle name="输入 5 4 2 2" xfId="6477"/>
    <cellStyle name="输入 5 4 3" xfId="5631"/>
    <cellStyle name="输入 5 5" xfId="2802"/>
    <cellStyle name="输入 5 5 2" xfId="4292"/>
    <cellStyle name="输入 5 5 2 2" xfId="6401"/>
    <cellStyle name="输入 5 5 3" xfId="5546"/>
    <cellStyle name="输入 5 6" xfId="2770"/>
    <cellStyle name="输入 5 6 2" xfId="4260"/>
    <cellStyle name="输入 5 6 2 2" xfId="6372"/>
    <cellStyle name="输入 5 6 3" xfId="5517"/>
    <cellStyle name="输入 5 7" xfId="5144"/>
    <cellStyle name="输入 6" xfId="2535"/>
    <cellStyle name="输入 6 2" xfId="3374"/>
    <cellStyle name="输入 6 2 2" xfId="4848"/>
    <cellStyle name="输入 6 2 2 2" xfId="6706"/>
    <cellStyle name="输入 6 2 3" xfId="5894"/>
    <cellStyle name="输入 6 3" xfId="4033"/>
    <cellStyle name="输入 6 3 2" xfId="6229"/>
    <cellStyle name="输入 6 4" xfId="5360"/>
    <cellStyle name="输入 7" xfId="2524"/>
    <cellStyle name="输入 7 2" xfId="4022"/>
    <cellStyle name="输入 7 2 2" xfId="6219"/>
    <cellStyle name="输入 7 3" xfId="5350"/>
    <cellStyle name="输出" xfId="332"/>
    <cellStyle name="输出 2" xfId="398"/>
    <cellStyle name="输出 2 2" xfId="647"/>
    <cellStyle name="输出 2 2 2" xfId="2411"/>
    <cellStyle name="输出 2 2 2 2" xfId="3004"/>
    <cellStyle name="输出 2 2 2 2 2" xfId="3639"/>
    <cellStyle name="输出 2 2 2 2 2 2" xfId="5101"/>
    <cellStyle name="输出 2 2 2 2 2 2 2" xfId="6828"/>
    <cellStyle name="输出 2 2 2 2 2 3" xfId="6043"/>
    <cellStyle name="输出 2 2 2 2 3" xfId="5700"/>
    <cellStyle name="输出 2 2 2 3" xfId="3115"/>
    <cellStyle name="输出 2 2 2 3 2" xfId="4589"/>
    <cellStyle name="输出 2 2 2 3 2 2" xfId="6611"/>
    <cellStyle name="输出 2 2 2 3 3" xfId="5792"/>
    <cellStyle name="输出 2 2 2 4" xfId="3178"/>
    <cellStyle name="输出 2 2 2 4 2" xfId="4652"/>
    <cellStyle name="输出 2 2 2 4 2 2" xfId="6662"/>
    <cellStyle name="输出 2 2 2 4 3" xfId="5847"/>
    <cellStyle name="输出 2 2 3" xfId="2306"/>
    <cellStyle name="输出 2 2 3 2" xfId="2919"/>
    <cellStyle name="输出 2 2 3 2 2" xfId="3568"/>
    <cellStyle name="输出 2 2 3 2 2 2" xfId="5036"/>
    <cellStyle name="输出 2 2 3 2 2 2 2" xfId="6797"/>
    <cellStyle name="输出 2 2 3 2 2 3" xfId="6004"/>
    <cellStyle name="输出 2 2 3 2 3" xfId="5643"/>
    <cellStyle name="输出 2 2 3 3" xfId="3084"/>
    <cellStyle name="输出 2 2 3 3 2" xfId="4558"/>
    <cellStyle name="输出 2 2 3 3 2 2" xfId="6582"/>
    <cellStyle name="输出 2 2 3 3 3" xfId="5761"/>
    <cellStyle name="输出 2 2 3 4" xfId="3163"/>
    <cellStyle name="输出 2 2 3 4 2" xfId="4637"/>
    <cellStyle name="输出 2 2 3 4 2 2" xfId="6648"/>
    <cellStyle name="输出 2 2 3 4 3" xfId="5833"/>
    <cellStyle name="输出 2 2 4" xfId="2489"/>
    <cellStyle name="输出 2 2 4 2" xfId="3987"/>
    <cellStyle name="输出 2 2 4 2 2" xfId="6193"/>
    <cellStyle name="输出 2 2 4 3" xfId="5322"/>
    <cellStyle name="输出 2 2 5" xfId="2813"/>
    <cellStyle name="输出 2 2 5 2" xfId="4303"/>
    <cellStyle name="输出 2 2 5 2 2" xfId="6411"/>
    <cellStyle name="输出 2 2 5 3" xfId="5557"/>
    <cellStyle name="输出 2 2 6" xfId="2462"/>
    <cellStyle name="输出 2 2 6 2" xfId="3960"/>
    <cellStyle name="输出 2 2 6 2 2" xfId="6170"/>
    <cellStyle name="输出 2 2 6 3" xfId="5299"/>
    <cellStyle name="输出 2 2 7" xfId="5177"/>
    <cellStyle name="输出 2 3" xfId="2389"/>
    <cellStyle name="输出 2 3 2" xfId="2983"/>
    <cellStyle name="输出 2 3 2 2" xfId="3620"/>
    <cellStyle name="输出 2 3 2 2 2" xfId="5082"/>
    <cellStyle name="输出 2 3 2 2 2 2" xfId="6825"/>
    <cellStyle name="输出 2 3 2 2 3" xfId="6036"/>
    <cellStyle name="输出 2 3 2 3" xfId="5691"/>
    <cellStyle name="输出 2 3 3" xfId="3109"/>
    <cellStyle name="输出 2 3 3 2" xfId="4583"/>
    <cellStyle name="输出 2 3 3 2 2" xfId="6606"/>
    <cellStyle name="输出 2 3 3 3" xfId="5786"/>
    <cellStyle name="输出 2 3 4" xfId="3176"/>
    <cellStyle name="输出 2 3 4 2" xfId="4650"/>
    <cellStyle name="输出 2 3 4 2 2" xfId="6661"/>
    <cellStyle name="输出 2 3 4 3" xfId="5846"/>
    <cellStyle name="输出 2 4" xfId="2257"/>
    <cellStyle name="输出 2 4 2" xfId="2890"/>
    <cellStyle name="输出 2 4 2 2" xfId="3549"/>
    <cellStyle name="输出 2 4 2 2 2" xfId="5018"/>
    <cellStyle name="输出 2 4 2 2 2 2" xfId="6789"/>
    <cellStyle name="输出 2 4 2 2 3" xfId="5992"/>
    <cellStyle name="输出 2 4 2 3" xfId="5621"/>
    <cellStyle name="输出 2 4 3" xfId="3074"/>
    <cellStyle name="输出 2 4 3 2" xfId="4548"/>
    <cellStyle name="输出 2 4 3 2 2" xfId="6573"/>
    <cellStyle name="输出 2 4 3 3" xfId="5751"/>
    <cellStyle name="输出 2 4 4" xfId="2512"/>
    <cellStyle name="输出 2 4 4 2" xfId="4010"/>
    <cellStyle name="输出 2 4 4 2 2" xfId="6211"/>
    <cellStyle name="输出 2 4 4 3" xfId="5341"/>
    <cellStyle name="输出 2 5" xfId="2518"/>
    <cellStyle name="输出 2 5 2" xfId="3389"/>
    <cellStyle name="输出 2 5 2 2" xfId="4863"/>
    <cellStyle name="输出 2 5 2 2 2" xfId="6719"/>
    <cellStyle name="输出 2 5 2 3" xfId="5909"/>
    <cellStyle name="输出 2 5 3" xfId="4016"/>
    <cellStyle name="输出 2 5 3 2" xfId="6215"/>
    <cellStyle name="输出 2 5 4" xfId="5346"/>
    <cellStyle name="输出 3" xfId="464"/>
    <cellStyle name="输出 3 2" xfId="674"/>
    <cellStyle name="输出 3 2 2" xfId="2355"/>
    <cellStyle name="输出 3 2 2 2" xfId="2951"/>
    <cellStyle name="输出 3 2 2 2 2" xfId="3588"/>
    <cellStyle name="输出 3 2 2 2 2 2" xfId="5056"/>
    <cellStyle name="输出 3 2 2 2 2 2 2" xfId="6811"/>
    <cellStyle name="输出 3 2 2 2 2 3" xfId="6018"/>
    <cellStyle name="输出 3 2 2 2 3" xfId="5669"/>
    <cellStyle name="输出 3 2 2 3" xfId="3098"/>
    <cellStyle name="输出 3 2 2 3 2" xfId="4572"/>
    <cellStyle name="输出 3 2 2 3 2 2" xfId="6595"/>
    <cellStyle name="输出 3 2 2 3 3" xfId="5775"/>
    <cellStyle name="输出 3 2 2 4" xfId="3171"/>
    <cellStyle name="输出 3 2 2 4 2" xfId="4645"/>
    <cellStyle name="输出 3 2 2 4 2 2" xfId="6656"/>
    <cellStyle name="输出 3 2 2 4 3" xfId="5841"/>
    <cellStyle name="输出 3 2 3" xfId="2819"/>
    <cellStyle name="输出 3 2 3 2" xfId="4309"/>
    <cellStyle name="输出 3 2 3 2 2" xfId="6416"/>
    <cellStyle name="输出 3 2 3 3" xfId="5562"/>
    <cellStyle name="输出 3 2 4" xfId="2544"/>
    <cellStyle name="输出 3 2 4 2" xfId="4042"/>
    <cellStyle name="输出 3 2 4 2 2" xfId="6237"/>
    <cellStyle name="输出 3 2 4 3" xfId="5368"/>
    <cellStyle name="输出 3 2 5" xfId="2665"/>
    <cellStyle name="输出 3 2 5 2" xfId="4162"/>
    <cellStyle name="输出 3 2 5 2 2" xfId="6313"/>
    <cellStyle name="输出 3 2 5 3" xfId="5451"/>
    <cellStyle name="输出 3 2 6" xfId="5183"/>
    <cellStyle name="输出 3 3" xfId="2317"/>
    <cellStyle name="输出 3 3 2" xfId="2927"/>
    <cellStyle name="输出 3 3 2 2" xfId="3574"/>
    <cellStyle name="输出 3 3 2 2 2" xfId="5042"/>
    <cellStyle name="输出 3 3 2 2 2 2" xfId="6800"/>
    <cellStyle name="输出 3 3 2 2 3" xfId="6007"/>
    <cellStyle name="输出 3 3 2 3" xfId="5648"/>
    <cellStyle name="输出 3 3 3" xfId="3088"/>
    <cellStyle name="输出 3 3 3 2" xfId="4562"/>
    <cellStyle name="输出 3 3 3 2 2" xfId="6586"/>
    <cellStyle name="输出 3 3 3 3" xfId="5765"/>
    <cellStyle name="输出 3 3 4" xfId="3165"/>
    <cellStyle name="输出 3 3 4 2" xfId="4639"/>
    <cellStyle name="输出 3 3 4 2 2" xfId="6650"/>
    <cellStyle name="输出 3 3 4 3" xfId="5835"/>
    <cellStyle name="输出 3 4" xfId="2591"/>
    <cellStyle name="输出 3 4 2" xfId="4089"/>
    <cellStyle name="输出 3 4 2 2" xfId="6265"/>
    <cellStyle name="输出 3 4 3" xfId="5398"/>
    <cellStyle name="输出 3 5" xfId="2508"/>
    <cellStyle name="输出 3 5 2" xfId="4006"/>
    <cellStyle name="输出 3 5 2 2" xfId="6207"/>
    <cellStyle name="输出 3 5 3" xfId="5337"/>
    <cellStyle name="输出 3 6" xfId="2497"/>
    <cellStyle name="输出 3 6 2" xfId="3995"/>
    <cellStyle name="输出 3 6 2 2" xfId="6197"/>
    <cellStyle name="输出 3 6 3" xfId="5326"/>
    <cellStyle name="输出 3 7" xfId="2804"/>
    <cellStyle name="输出 3 7 2" xfId="4294"/>
    <cellStyle name="输出 3 7 2 2" xfId="6403"/>
    <cellStyle name="输出 3 7 3" xfId="5548"/>
    <cellStyle name="输出 3 8" xfId="2531"/>
    <cellStyle name="输出 3 8 2" xfId="4029"/>
    <cellStyle name="输出 3 8 2 2" xfId="6225"/>
    <cellStyle name="输出 3 8 3" xfId="5356"/>
    <cellStyle name="输出 3 9" xfId="5141"/>
    <cellStyle name="输出 4" xfId="557"/>
    <cellStyle name="输出 4 2" xfId="2434"/>
    <cellStyle name="输出 4 2 2" xfId="3026"/>
    <cellStyle name="输出 4 2 2 2" xfId="3660"/>
    <cellStyle name="输出 4 2 2 2 2" xfId="5121"/>
    <cellStyle name="输出 4 2 2 2 2 2" xfId="6837"/>
    <cellStyle name="输出 4 2 2 2 3" xfId="6053"/>
    <cellStyle name="输出 4 2 2 3" xfId="5711"/>
    <cellStyle name="输出 4 2 3" xfId="3125"/>
    <cellStyle name="输出 4 2 3 2" xfId="4599"/>
    <cellStyle name="输出 4 2 3 2 2" xfId="6620"/>
    <cellStyle name="输出 4 2 3 3" xfId="5801"/>
    <cellStyle name="输出 4 2 4" xfId="3180"/>
    <cellStyle name="输出 4 2 4 2" xfId="4654"/>
    <cellStyle name="输出 4 2 4 2 2" xfId="6664"/>
    <cellStyle name="输出 4 2 4 3" xfId="5849"/>
    <cellStyle name="输出 4 3" xfId="2345"/>
    <cellStyle name="输出 4 3 2" xfId="2942"/>
    <cellStyle name="输出 4 3 2 2" xfId="3584"/>
    <cellStyle name="输出 4 3 2 2 2" xfId="5052"/>
    <cellStyle name="输出 4 3 2 2 2 2" xfId="6807"/>
    <cellStyle name="输出 4 3 2 2 3" xfId="6014"/>
    <cellStyle name="输出 4 3 2 3" xfId="5660"/>
    <cellStyle name="输出 4 3 3" xfId="3094"/>
    <cellStyle name="输出 4 3 3 2" xfId="4568"/>
    <cellStyle name="输出 4 3 3 2 2" xfId="6591"/>
    <cellStyle name="输出 4 3 3 3" xfId="5771"/>
    <cellStyle name="输出 4 3 4" xfId="3166"/>
    <cellStyle name="输出 4 3 4 2" xfId="4640"/>
    <cellStyle name="输出 4 3 4 2 2" xfId="6651"/>
    <cellStyle name="输出 4 3 4 3" xfId="5836"/>
    <cellStyle name="输出 4 4" xfId="2835"/>
    <cellStyle name="输出 4 4 2" xfId="4324"/>
    <cellStyle name="输出 4 4 2 2" xfId="6430"/>
    <cellStyle name="输出 4 4 3" xfId="5577"/>
    <cellStyle name="输出 4 5" xfId="2971"/>
    <cellStyle name="输出 4 5 2" xfId="4451"/>
    <cellStyle name="输出 4 5 2 2" xfId="6518"/>
    <cellStyle name="输出 4 5 3" xfId="5684"/>
    <cellStyle name="输出 4 6" xfId="2948"/>
    <cellStyle name="输出 4 6 2" xfId="4431"/>
    <cellStyle name="输出 4 6 2 2" xfId="6505"/>
    <cellStyle name="输出 4 6 3" xfId="5666"/>
    <cellStyle name="输出 4 7" xfId="5151"/>
    <cellStyle name="输出 5" xfId="715"/>
    <cellStyle name="输出 5 2" xfId="2363"/>
    <cellStyle name="输出 5 2 2" xfId="2959"/>
    <cellStyle name="输出 5 2 2 2" xfId="3595"/>
    <cellStyle name="输出 5 2 2 2 2" xfId="5063"/>
    <cellStyle name="输出 5 2 2 2 2 2" xfId="6814"/>
    <cellStyle name="输出 5 2 2 2 3" xfId="6023"/>
    <cellStyle name="输出 5 2 2 3" xfId="5675"/>
    <cellStyle name="输出 5 2 3" xfId="3100"/>
    <cellStyle name="输出 5 2 3 2" xfId="4574"/>
    <cellStyle name="输出 5 2 3 2 2" xfId="6597"/>
    <cellStyle name="输出 5 2 3 3" xfId="5777"/>
    <cellStyle name="输出 5 2 4" xfId="3172"/>
    <cellStyle name="输出 5 2 4 2" xfId="4646"/>
    <cellStyle name="输出 5 2 4 2 2" xfId="6657"/>
    <cellStyle name="输出 5 2 4 3" xfId="5842"/>
    <cellStyle name="输出 5 3" xfId="2726"/>
    <cellStyle name="输出 5 3 2" xfId="3513"/>
    <cellStyle name="输出 5 3 2 2" xfId="4983"/>
    <cellStyle name="输出 5 3 2 2 2" xfId="6771"/>
    <cellStyle name="输出 5 3 2 3" xfId="5970"/>
    <cellStyle name="输出 5 3 3" xfId="5481"/>
    <cellStyle name="输出 5 4" xfId="2479"/>
    <cellStyle name="输出 5 4 2" xfId="3977"/>
    <cellStyle name="输出 5 4 2 2" xfId="6185"/>
    <cellStyle name="输出 5 4 3" xfId="5314"/>
    <cellStyle name="输出 5 5" xfId="2755"/>
    <cellStyle name="输出 5 5 2" xfId="4245"/>
    <cellStyle name="输出 5 5 2 2" xfId="6357"/>
    <cellStyle name="输出 5 5 3" xfId="5502"/>
    <cellStyle name="输出 6" xfId="2523"/>
    <cellStyle name="输出 6 2" xfId="3375"/>
    <cellStyle name="输出 6 2 2" xfId="4849"/>
    <cellStyle name="输出 6 2 2 2" xfId="6707"/>
    <cellStyle name="输出 6 2 3" xfId="5895"/>
    <cellStyle name="输出 6 3" xfId="4021"/>
    <cellStyle name="输出 6 3 2" xfId="6218"/>
    <cellStyle name="输出 6 4" xfId="5349"/>
    <cellStyle name="僴僀僷乕儕儞僋" xfId="2237"/>
    <cellStyle name="寥碟徽_95" xfId="2200"/>
    <cellStyle name="綴樟閉撰蟈諉" xfId="2201"/>
    <cellStyle name="億啟[0]_1" xfId="2202"/>
    <cellStyle name="億啟_1" xfId="2203"/>
    <cellStyle name="標準 4 2 2" xfId="483"/>
    <cellStyle name="標準_１０" xfId="333"/>
    <cellStyle name="標題 1 1" xfId="2219"/>
    <cellStyle name="標題 1 1 1" xfId="2220"/>
    <cellStyle name="標題 2 1" xfId="2221"/>
    <cellStyle name="標題 2 1 1" xfId="2222"/>
    <cellStyle name="樣式 1" xfId="2204"/>
    <cellStyle name="樣式 10" xfId="2205"/>
    <cellStyle name="樣式 11" xfId="2206"/>
    <cellStyle name="樣式 12" xfId="2207"/>
    <cellStyle name="樣式 13" xfId="2208"/>
    <cellStyle name="樣式 14" xfId="2209"/>
    <cellStyle name="樣式 15" xfId="2210"/>
    <cellStyle name="樣式 2" xfId="2211"/>
    <cellStyle name="樣式 3" xfId="2212"/>
    <cellStyle name="樣式 4" xfId="2213"/>
    <cellStyle name="樣式 5" xfId="2214"/>
    <cellStyle name="樣式 6" xfId="2215"/>
    <cellStyle name="樣式 7" xfId="2216"/>
    <cellStyle name="樣式 8" xfId="2217"/>
    <cellStyle name="樣式 9" xfId="2218"/>
    <cellStyle name="磊府荐" xfId="2223"/>
    <cellStyle name="磊府荐0" xfId="2224"/>
    <cellStyle name="箭磊(R)" xfId="2225"/>
    <cellStyle name="隨後的超連結) Liab" xfId="334"/>
    <cellStyle name="霓付 [0]_(type)醚褒" xfId="2226"/>
    <cellStyle name="霓付_(type)醚褒" xfId="2227"/>
    <cellStyle name="禬硈挡" xfId="2228"/>
    <cellStyle name="壞_2007 to 2011 working" xfId="2229"/>
    <cellStyle name="壞_2007 to 2011 working 2" xfId="2230"/>
    <cellStyle name="壞_Summary of minutes" xfId="2231"/>
    <cellStyle name="警告文本" xfId="335"/>
    <cellStyle name="警告文本 2" xfId="399"/>
    <cellStyle name="警告文本 2 2" xfId="648"/>
    <cellStyle name="警告文本 2 3" xfId="2232"/>
    <cellStyle name="警告文本 3" xfId="465"/>
    <cellStyle name="巍葆 [0]_95" xfId="2233"/>
    <cellStyle name="巍葆_95" xfId="2234"/>
    <cellStyle name="鱔? [0]_95" xfId="2235"/>
    <cellStyle name="鱔?_95" xfId="2236"/>
    <cellStyle name="콤마 [0]_1.24분기 평가표 " xfId="336"/>
    <cellStyle name="콤마_1.24분기 평가표 " xfId="337"/>
    <cellStyle name="통화 [0]_1.24분기 평가표 " xfId="338"/>
    <cellStyle name="통화_1.24분기 평가표 " xfId="339"/>
    <cellStyle name="표준_(업무)평가단" xfId="34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9"/>
  <sheetViews>
    <sheetView tabSelected="1" workbookViewId="0">
      <selection activeCell="B120" sqref="B120"/>
    </sheetView>
  </sheetViews>
  <sheetFormatPr defaultRowHeight="14.5"/>
  <cols>
    <col min="1" max="1" width="47.19921875" style="4" customWidth="1"/>
    <col min="2" max="2" width="18.09765625" style="4" bestFit="1" customWidth="1"/>
    <col min="3" max="16384" width="8.796875" style="4"/>
  </cols>
  <sheetData>
    <row r="1" spans="1:2">
      <c r="A1" s="15" t="s">
        <v>0</v>
      </c>
      <c r="B1" s="12"/>
    </row>
    <row r="2" spans="1:2">
      <c r="A2" s="15" t="s">
        <v>1</v>
      </c>
      <c r="B2" s="13"/>
    </row>
    <row r="3" spans="1:2">
      <c r="A3" s="15"/>
      <c r="B3" s="13"/>
    </row>
    <row r="4" spans="1:2">
      <c r="A4" s="15"/>
      <c r="B4" s="13"/>
    </row>
    <row r="5" spans="1:2">
      <c r="A5" s="24"/>
      <c r="B5" s="14"/>
    </row>
    <row r="6" spans="1:2">
      <c r="A6" s="11"/>
      <c r="B6" s="14"/>
    </row>
    <row r="7" spans="1:2">
      <c r="A7" s="11"/>
      <c r="B7" s="3"/>
    </row>
    <row r="8" spans="1:2">
      <c r="A8" s="11"/>
      <c r="B8" s="18" t="s">
        <v>74</v>
      </c>
    </row>
    <row r="9" spans="1:2">
      <c r="A9" s="15"/>
      <c r="B9" s="12" t="s">
        <v>75</v>
      </c>
    </row>
    <row r="10" spans="1:2">
      <c r="A10" s="24"/>
      <c r="B10" s="12" t="s">
        <v>76</v>
      </c>
    </row>
    <row r="11" spans="1:2">
      <c r="A11" s="24"/>
      <c r="B11" s="12" t="s">
        <v>77</v>
      </c>
    </row>
    <row r="12" spans="1:2">
      <c r="A12" s="24"/>
      <c r="B12" s="12"/>
    </row>
    <row r="13" spans="1:2">
      <c r="A13" s="15" t="s">
        <v>2</v>
      </c>
      <c r="B13" s="12"/>
    </row>
    <row r="14" spans="1:2">
      <c r="A14" s="24"/>
      <c r="B14" s="12"/>
    </row>
    <row r="15" spans="1:2">
      <c r="A15" s="15" t="s">
        <v>3</v>
      </c>
      <c r="B15" s="14"/>
    </row>
    <row r="16" spans="1:2">
      <c r="A16" s="24" t="s">
        <v>7</v>
      </c>
      <c r="B16" s="10">
        <v>3787000</v>
      </c>
    </row>
    <row r="17" spans="1:2">
      <c r="A17" s="24" t="s">
        <v>8</v>
      </c>
      <c r="B17" s="10">
        <v>-823260.85</v>
      </c>
    </row>
    <row r="18" spans="1:2">
      <c r="A18" s="24" t="s">
        <v>6</v>
      </c>
      <c r="B18" s="10">
        <v>153242</v>
      </c>
    </row>
    <row r="19" spans="1:2">
      <c r="A19" s="24" t="s">
        <v>9</v>
      </c>
      <c r="B19" s="10">
        <v>-139055.34</v>
      </c>
    </row>
    <row r="20" spans="1:2">
      <c r="A20" s="24" t="s">
        <v>10</v>
      </c>
      <c r="B20" s="10">
        <v>1590164</v>
      </c>
    </row>
    <row r="21" spans="1:2">
      <c r="A21" s="24" t="s">
        <v>11</v>
      </c>
      <c r="B21" s="10">
        <v>-482863.4</v>
      </c>
    </row>
    <row r="22" spans="1:2">
      <c r="A22" s="24" t="s">
        <v>4</v>
      </c>
      <c r="B22" s="10">
        <v>43001.98</v>
      </c>
    </row>
    <row r="23" spans="1:2">
      <c r="A23" s="24" t="s">
        <v>5</v>
      </c>
      <c r="B23" s="10">
        <v>-35485.33</v>
      </c>
    </row>
    <row r="24" spans="1:2">
      <c r="A24" s="24"/>
      <c r="B24" s="10"/>
    </row>
    <row r="25" spans="1:2">
      <c r="A25" s="24"/>
      <c r="B25" s="9">
        <f>SUM(B16:B24)</f>
        <v>4092743.0600000005</v>
      </c>
    </row>
    <row r="26" spans="1:2">
      <c r="A26" s="15" t="s">
        <v>12</v>
      </c>
      <c r="B26" s="10"/>
    </row>
    <row r="27" spans="1:2">
      <c r="A27" s="24" t="s">
        <v>13</v>
      </c>
      <c r="B27" s="10">
        <v>3000</v>
      </c>
    </row>
    <row r="28" spans="1:2">
      <c r="A28" s="24" t="s">
        <v>14</v>
      </c>
      <c r="B28" s="10">
        <v>12340</v>
      </c>
    </row>
    <row r="29" spans="1:2">
      <c r="A29" s="24" t="s">
        <v>15</v>
      </c>
      <c r="B29" s="10">
        <v>154408220</v>
      </c>
    </row>
    <row r="30" spans="1:2">
      <c r="A30" s="24" t="s">
        <v>16</v>
      </c>
      <c r="B30" s="10">
        <v>587786</v>
      </c>
    </row>
    <row r="31" spans="1:2">
      <c r="A31" s="24" t="s">
        <v>17</v>
      </c>
      <c r="B31" s="10">
        <v>2059239.22</v>
      </c>
    </row>
    <row r="32" spans="1:2">
      <c r="A32" s="24" t="s">
        <v>18</v>
      </c>
      <c r="B32" s="10">
        <v>59259806.359999999</v>
      </c>
    </row>
    <row r="33" spans="1:2">
      <c r="A33" s="24" t="s">
        <v>19</v>
      </c>
      <c r="B33" s="10">
        <v>6628103.3399999999</v>
      </c>
    </row>
    <row r="34" spans="1:2">
      <c r="A34" s="24"/>
      <c r="B34" s="10"/>
    </row>
    <row r="35" spans="1:2">
      <c r="A35" s="24"/>
      <c r="B35" s="9">
        <f>SUM(B27:B34)</f>
        <v>222958494.91999999</v>
      </c>
    </row>
    <row r="36" spans="1:2">
      <c r="A36" s="15" t="s">
        <v>20</v>
      </c>
      <c r="B36" s="10"/>
    </row>
    <row r="37" spans="1:2">
      <c r="A37" s="24" t="s">
        <v>21</v>
      </c>
      <c r="B37" s="10">
        <v>-2256342.54</v>
      </c>
    </row>
    <row r="38" spans="1:2">
      <c r="A38" s="24" t="s">
        <v>22</v>
      </c>
      <c r="B38" s="10">
        <v>-22471439.170000002</v>
      </c>
    </row>
    <row r="39" spans="1:2">
      <c r="A39" s="24" t="s">
        <v>23</v>
      </c>
      <c r="B39" s="10">
        <v>-300000</v>
      </c>
    </row>
    <row r="40" spans="1:2">
      <c r="A40" s="24" t="s">
        <v>24</v>
      </c>
      <c r="B40" s="10">
        <v>-147720864.44999999</v>
      </c>
    </row>
    <row r="41" spans="1:2">
      <c r="A41" s="24"/>
      <c r="B41" s="10"/>
    </row>
    <row r="42" spans="1:2">
      <c r="A42" s="24"/>
      <c r="B42" s="9">
        <f>SUM(B37:B41)</f>
        <v>-172748646.16</v>
      </c>
    </row>
    <row r="43" spans="1:2">
      <c r="A43" s="24"/>
      <c r="B43" s="8"/>
    </row>
    <row r="44" spans="1:2">
      <c r="A44" s="15" t="s">
        <v>25</v>
      </c>
      <c r="B44" s="7">
        <f>B35+B42</f>
        <v>50209848.75999999</v>
      </c>
    </row>
    <row r="45" spans="1:2">
      <c r="A45" s="24"/>
      <c r="B45" s="20"/>
    </row>
    <row r="46" spans="1:2">
      <c r="A46" s="24"/>
      <c r="B46" s="7"/>
    </row>
    <row r="47" spans="1:2" ht="15" thickBot="1">
      <c r="A47" s="15" t="s">
        <v>26</v>
      </c>
      <c r="B47" s="6">
        <f>B44+B25</f>
        <v>54302591.819999993</v>
      </c>
    </row>
    <row r="48" spans="1:2" ht="15" thickTop="1">
      <c r="A48" s="24"/>
      <c r="B48" s="7"/>
    </row>
    <row r="49" spans="1:2">
      <c r="A49" s="15" t="s">
        <v>27</v>
      </c>
      <c r="B49" s="10"/>
    </row>
    <row r="50" spans="1:2">
      <c r="A50" s="24" t="s">
        <v>28</v>
      </c>
      <c r="B50" s="10">
        <v>-14392354</v>
      </c>
    </row>
    <row r="51" spans="1:2">
      <c r="A51" s="24" t="s">
        <v>29</v>
      </c>
      <c r="B51" s="10">
        <v>-35272963.149999999</v>
      </c>
    </row>
    <row r="52" spans="1:2">
      <c r="A52" s="24" t="s">
        <v>30</v>
      </c>
      <c r="B52" s="10">
        <v>-4637274.6699999981</v>
      </c>
    </row>
    <row r="53" spans="1:2">
      <c r="A53" s="24"/>
      <c r="B53" s="8"/>
    </row>
    <row r="54" spans="1:2" ht="15" thickBot="1">
      <c r="A54" s="24"/>
      <c r="B54" s="23">
        <f>SUM(B50:B53)</f>
        <v>-54302591.819999993</v>
      </c>
    </row>
    <row r="55" spans="1:2" ht="15" thickTop="1">
      <c r="A55" s="15" t="s">
        <v>31</v>
      </c>
      <c r="B55" s="7">
        <f>B47+B54</f>
        <v>0</v>
      </c>
    </row>
    <row r="56" spans="1:2">
      <c r="A56" s="24"/>
      <c r="B56" s="7"/>
    </row>
    <row r="57" spans="1:2">
      <c r="A57" s="15" t="s">
        <v>32</v>
      </c>
      <c r="B57" s="17"/>
    </row>
    <row r="58" spans="1:2">
      <c r="A58" s="24"/>
      <c r="B58" s="2"/>
    </row>
    <row r="59" spans="1:2">
      <c r="A59" s="15" t="s">
        <v>33</v>
      </c>
      <c r="B59" s="10"/>
    </row>
    <row r="60" spans="1:2">
      <c r="A60" s="24" t="s">
        <v>34</v>
      </c>
      <c r="B60" s="10">
        <v>-14820126</v>
      </c>
    </row>
    <row r="61" spans="1:2">
      <c r="A61" s="24" t="s">
        <v>35</v>
      </c>
      <c r="B61" s="10">
        <v>-1852726.18</v>
      </c>
    </row>
    <row r="62" spans="1:2">
      <c r="A62" s="24"/>
      <c r="B62" s="10"/>
    </row>
    <row r="63" spans="1:2">
      <c r="A63" s="24"/>
      <c r="B63" s="22">
        <f>SUM(B60:B62)</f>
        <v>-16672852.18</v>
      </c>
    </row>
    <row r="64" spans="1:2">
      <c r="A64" s="15" t="s">
        <v>36</v>
      </c>
      <c r="B64" s="10"/>
    </row>
    <row r="65" spans="1:2">
      <c r="A65" s="24" t="s">
        <v>37</v>
      </c>
      <c r="B65" s="10">
        <v>-42523.7</v>
      </c>
    </row>
    <row r="66" spans="1:2">
      <c r="A66" s="24" t="s">
        <v>38</v>
      </c>
      <c r="B66" s="10">
        <v>-1</v>
      </c>
    </row>
    <row r="67" spans="1:2">
      <c r="A67" s="24"/>
      <c r="B67" s="10"/>
    </row>
    <row r="68" spans="1:2">
      <c r="A68" s="24"/>
      <c r="B68" s="22">
        <f>B65+B66</f>
        <v>-42524.7</v>
      </c>
    </row>
    <row r="69" spans="1:2">
      <c r="A69" s="24"/>
      <c r="B69" s="10"/>
    </row>
    <row r="70" spans="1:2">
      <c r="A70" s="15" t="s">
        <v>39</v>
      </c>
      <c r="B70" s="1">
        <v>-16715376.879999999</v>
      </c>
    </row>
    <row r="71" spans="1:2">
      <c r="A71" s="15" t="s">
        <v>40</v>
      </c>
      <c r="B71" s="5">
        <v>1.00255053541775</v>
      </c>
    </row>
    <row r="72" spans="1:2">
      <c r="A72" s="24"/>
      <c r="B72" s="10"/>
    </row>
    <row r="73" spans="1:2">
      <c r="A73" s="15"/>
      <c r="B73" s="2"/>
    </row>
    <row r="74" spans="1:2">
      <c r="A74" s="15" t="s">
        <v>43</v>
      </c>
      <c r="B74" s="17"/>
    </row>
    <row r="75" spans="1:2">
      <c r="A75" s="16" t="s">
        <v>44</v>
      </c>
      <c r="B75" s="10">
        <v>54931.21</v>
      </c>
    </row>
    <row r="76" spans="1:2">
      <c r="A76" s="16" t="s">
        <v>45</v>
      </c>
      <c r="B76" s="10">
        <v>9520</v>
      </c>
    </row>
    <row r="77" spans="1:2">
      <c r="A77" s="16" t="s">
        <v>46</v>
      </c>
      <c r="B77" s="10">
        <v>15440</v>
      </c>
    </row>
    <row r="78" spans="1:2">
      <c r="A78" s="16" t="s">
        <v>47</v>
      </c>
      <c r="B78" s="10">
        <v>150</v>
      </c>
    </row>
    <row r="79" spans="1:2">
      <c r="A79" s="16" t="s">
        <v>48</v>
      </c>
      <c r="B79" s="10">
        <v>60000</v>
      </c>
    </row>
    <row r="80" spans="1:2">
      <c r="A80" s="16" t="s">
        <v>41</v>
      </c>
      <c r="B80" s="10">
        <v>3486059.5</v>
      </c>
    </row>
    <row r="81" spans="1:2">
      <c r="A81" s="16" t="s">
        <v>49</v>
      </c>
      <c r="B81" s="10">
        <v>870</v>
      </c>
    </row>
    <row r="82" spans="1:2">
      <c r="A82" s="16" t="s">
        <v>50</v>
      </c>
      <c r="B82" s="10">
        <v>420817.69</v>
      </c>
    </row>
    <row r="83" spans="1:2">
      <c r="A83" s="16" t="s">
        <v>51</v>
      </c>
      <c r="B83" s="10">
        <v>5171</v>
      </c>
    </row>
    <row r="84" spans="1:2">
      <c r="A84" s="16" t="s">
        <v>52</v>
      </c>
      <c r="B84" s="10">
        <v>780963.24</v>
      </c>
    </row>
    <row r="85" spans="1:2">
      <c r="A85" s="16" t="s">
        <v>53</v>
      </c>
      <c r="B85" s="10">
        <v>712</v>
      </c>
    </row>
    <row r="86" spans="1:2">
      <c r="A86" s="16" t="s">
        <v>54</v>
      </c>
      <c r="B86" s="10">
        <v>3047500</v>
      </c>
    </row>
    <row r="87" spans="1:2">
      <c r="A87" s="16" t="s">
        <v>56</v>
      </c>
      <c r="B87" s="10">
        <v>37169.31</v>
      </c>
    </row>
    <row r="88" spans="1:2">
      <c r="A88" s="16" t="s">
        <v>57</v>
      </c>
      <c r="B88" s="10">
        <v>10710</v>
      </c>
    </row>
    <row r="89" spans="1:2">
      <c r="A89" s="16" t="s">
        <v>55</v>
      </c>
      <c r="B89" s="10">
        <v>640000</v>
      </c>
    </row>
    <row r="90" spans="1:2">
      <c r="A90" s="16" t="s">
        <v>58</v>
      </c>
      <c r="B90" s="10">
        <v>83236.61</v>
      </c>
    </row>
    <row r="91" spans="1:2">
      <c r="A91" s="16" t="s">
        <v>59</v>
      </c>
      <c r="B91" s="10">
        <v>5000</v>
      </c>
    </row>
    <row r="92" spans="1:2">
      <c r="A92" s="16" t="s">
        <v>60</v>
      </c>
      <c r="B92" s="10">
        <v>87598.88</v>
      </c>
    </row>
    <row r="93" spans="1:2">
      <c r="A93" s="16" t="s">
        <v>61</v>
      </c>
      <c r="B93" s="10">
        <v>14040</v>
      </c>
    </row>
    <row r="94" spans="1:2">
      <c r="A94" s="16" t="s">
        <v>62</v>
      </c>
      <c r="B94" s="10">
        <v>1101.5</v>
      </c>
    </row>
    <row r="95" spans="1:2">
      <c r="A95" s="16" t="s">
        <v>64</v>
      </c>
      <c r="B95" s="10">
        <v>7216.98</v>
      </c>
    </row>
    <row r="96" spans="1:2">
      <c r="A96" s="16" t="s">
        <v>65</v>
      </c>
      <c r="B96" s="10">
        <v>2603941.04</v>
      </c>
    </row>
    <row r="97" spans="1:2">
      <c r="A97" s="16" t="s">
        <v>63</v>
      </c>
      <c r="B97" s="10">
        <v>6729</v>
      </c>
    </row>
    <row r="98" spans="1:2">
      <c r="A98" s="16" t="s">
        <v>42</v>
      </c>
      <c r="B98" s="10">
        <v>10400</v>
      </c>
    </row>
    <row r="99" spans="1:2">
      <c r="A99" s="16" t="s">
        <v>66</v>
      </c>
      <c r="B99" s="10">
        <v>1656</v>
      </c>
    </row>
    <row r="100" spans="1:2">
      <c r="A100" s="16" t="s">
        <v>67</v>
      </c>
      <c r="B100" s="10">
        <v>1790</v>
      </c>
    </row>
    <row r="101" spans="1:2">
      <c r="A101" s="16" t="s">
        <v>68</v>
      </c>
      <c r="B101" s="10">
        <v>11493.25</v>
      </c>
    </row>
    <row r="102" spans="1:2">
      <c r="A102" s="24"/>
      <c r="B102" s="10"/>
    </row>
    <row r="103" spans="1:2">
      <c r="A103" s="24"/>
      <c r="B103" s="8"/>
    </row>
    <row r="104" spans="1:2">
      <c r="A104" s="15"/>
      <c r="B104" s="1">
        <f>SUM(B75:B102)</f>
        <v>11404217.210000001</v>
      </c>
    </row>
    <row r="105" spans="1:2">
      <c r="A105" s="15"/>
      <c r="B105" s="2"/>
    </row>
    <row r="106" spans="1:2">
      <c r="A106" s="15" t="s">
        <v>69</v>
      </c>
      <c r="B106" s="10"/>
    </row>
    <row r="107" spans="1:2">
      <c r="A107" s="24" t="s">
        <v>70</v>
      </c>
      <c r="B107" s="10">
        <v>5800</v>
      </c>
    </row>
    <row r="108" spans="1:2">
      <c r="A108" s="24"/>
      <c r="B108" s="10"/>
    </row>
    <row r="109" spans="1:2">
      <c r="A109" s="24"/>
      <c r="B109" s="22">
        <v>5800</v>
      </c>
    </row>
    <row r="110" spans="1:2">
      <c r="A110" s="24"/>
      <c r="B110" s="8"/>
    </row>
    <row r="111" spans="1:2">
      <c r="A111" s="24"/>
      <c r="B111" s="7">
        <f>B104+B109</f>
        <v>11410017.210000001</v>
      </c>
    </row>
    <row r="112" spans="1:2">
      <c r="A112" s="15" t="s">
        <v>71</v>
      </c>
      <c r="B112" s="21">
        <f>B111+B70</f>
        <v>-5305359.6699999981</v>
      </c>
    </row>
    <row r="113" spans="1:2">
      <c r="A113" s="24"/>
      <c r="B113" s="7"/>
    </row>
    <row r="114" spans="1:2">
      <c r="A114" s="15" t="s">
        <v>72</v>
      </c>
      <c r="B114" s="2"/>
    </row>
    <row r="115" spans="1:2">
      <c r="A115" s="24" t="s">
        <v>73</v>
      </c>
      <c r="B115" s="10">
        <v>668085</v>
      </c>
    </row>
    <row r="116" spans="1:2">
      <c r="A116" s="24"/>
      <c r="B116" s="10"/>
    </row>
    <row r="117" spans="1:2">
      <c r="A117" s="24"/>
      <c r="B117" s="20">
        <f>B115</f>
        <v>668085</v>
      </c>
    </row>
    <row r="118" spans="1:2" ht="15" thickBot="1">
      <c r="A118" s="15" t="s">
        <v>30</v>
      </c>
      <c r="B118" s="19">
        <f>B112+B117</f>
        <v>-4637274.6699999981</v>
      </c>
    </row>
    <row r="119" spans="1:2" ht="15" thickTop="1">
      <c r="A119" s="15"/>
      <c r="B119" s="10"/>
    </row>
    <row r="120" spans="1:2">
      <c r="A120" s="15" t="s">
        <v>31</v>
      </c>
      <c r="B120" s="17"/>
    </row>
    <row r="121" spans="1:2">
      <c r="A121" s="24"/>
      <c r="B121" s="10"/>
    </row>
    <row r="122" spans="1:2">
      <c r="A122" s="27"/>
      <c r="B122" s="14"/>
    </row>
    <row r="123" spans="1:2" ht="17">
      <c r="A123" s="29"/>
      <c r="B123" s="32"/>
    </row>
    <row r="124" spans="1:2">
      <c r="A124" s="24"/>
      <c r="B124" s="32"/>
    </row>
    <row r="125" spans="1:2">
      <c r="A125" s="24"/>
      <c r="B125" s="32"/>
    </row>
    <row r="126" spans="1:2">
      <c r="A126" s="15"/>
      <c r="B126" s="32"/>
    </row>
    <row r="127" spans="1:2">
      <c r="A127" s="27"/>
      <c r="B127" s="32"/>
    </row>
    <row r="128" spans="1:2">
      <c r="A128" s="27"/>
      <c r="B128" s="32"/>
    </row>
    <row r="129" spans="1:2">
      <c r="A129" s="27"/>
      <c r="B129" s="32"/>
    </row>
    <row r="130" spans="1:2" ht="18">
      <c r="A130" s="25"/>
      <c r="B130" s="31"/>
    </row>
    <row r="131" spans="1:2" ht="18">
      <c r="A131" s="25"/>
      <c r="B131" s="31"/>
    </row>
    <row r="132" spans="1:2" ht="17">
      <c r="A132" s="29"/>
      <c r="B132" s="31"/>
    </row>
    <row r="133" spans="1:2" ht="17">
      <c r="A133" s="29"/>
      <c r="B133" s="28"/>
    </row>
    <row r="135" spans="1:2" ht="17">
      <c r="A135" s="15"/>
      <c r="B135" s="28"/>
    </row>
    <row r="136" spans="1:2" ht="17">
      <c r="A136" s="30"/>
      <c r="B136" s="28"/>
    </row>
    <row r="137" spans="1:2" ht="17">
      <c r="A137" s="26"/>
      <c r="B137" s="28"/>
    </row>
    <row r="138" spans="1:2" ht="17">
      <c r="A138" s="26"/>
      <c r="B138" s="28"/>
    </row>
    <row r="139" spans="1:2" ht="17">
      <c r="A139" s="30"/>
      <c r="B139" s="28"/>
    </row>
  </sheetData>
  <phoneticPr fontId="9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2025-03-12T07:24:01Z</dcterms:modified>
</cp:coreProperties>
</file>