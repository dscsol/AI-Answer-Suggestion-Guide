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 defaultThemeVersion="124226"/>
  <xr:revisionPtr revIDLastSave="0" documentId="13_ncr:1_{51071699-A974-49A6-9E22-92569D8083BB}" xr6:coauthVersionLast="47" xr6:coauthVersionMax="47" xr10:uidLastSave="{00000000-0000-0000-0000-000000000000}"/>
  <bookViews>
    <workbookView xWindow="38295" yWindow="0" windowWidth="38610" windowHeight="20985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1" l="1"/>
  <c r="B27" i="1"/>
  <c r="B36" i="1" s="1"/>
  <c r="B38" i="1" s="1"/>
  <c r="B47" i="1" s="1"/>
  <c r="B105" i="1"/>
  <c r="B71" i="1"/>
  <c r="B56" i="1"/>
  <c r="B73" i="1" s="1"/>
  <c r="B46" i="1"/>
  <c r="B19" i="1"/>
  <c r="B108" i="1" l="1"/>
  <c r="B114" i="1" s="1"/>
</calcChain>
</file>

<file path=xl/sharedStrings.xml><?xml version="1.0" encoding="utf-8"?>
<sst xmlns="http://schemas.openxmlformats.org/spreadsheetml/2006/main" count="76" uniqueCount="76">
  <si>
    <t>NON-CURRENT ASSETS</t>
  </si>
  <si>
    <t>ADMISSION FEE DEPOSIT</t>
  </si>
  <si>
    <t>COMPENSATION FUND DEPOSIT</t>
  </si>
  <si>
    <t>FIDELITY FUND DEPOSIT</t>
  </si>
  <si>
    <t>GUARANTEE FUND DEPOSIT</t>
  </si>
  <si>
    <t>STAMP DUTY DEPOSIT</t>
  </si>
  <si>
    <t>CURRENT ASSETS</t>
  </si>
  <si>
    <t>Trade receivable</t>
  </si>
  <si>
    <t>Financial assets at fair value through profit or loss</t>
  </si>
  <si>
    <t>Prepayment</t>
  </si>
  <si>
    <t>CURRENT LIABILITIES</t>
  </si>
  <si>
    <t>Trade payable</t>
  </si>
  <si>
    <t>Other payable</t>
  </si>
  <si>
    <t>Amounts due to related companies</t>
  </si>
  <si>
    <t>CAPITLA AND RESERVES</t>
  </si>
  <si>
    <t>Share Capital</t>
  </si>
  <si>
    <t>Retained earning b/f</t>
  </si>
  <si>
    <t>REVENUE</t>
  </si>
  <si>
    <t>Interest income - Client</t>
  </si>
  <si>
    <t>Brokerage income HKD</t>
  </si>
  <si>
    <t>OTHER INCOME</t>
  </si>
  <si>
    <t>Handling Income</t>
  </si>
  <si>
    <t>Corporate Action charge</t>
  </si>
  <si>
    <t>Corporate Action charge dividend collect</t>
  </si>
  <si>
    <t>Corporate Action charge scrip fee</t>
  </si>
  <si>
    <t>Corporate Action charge handling fee</t>
  </si>
  <si>
    <t>CCASS Stock Settlement Income</t>
  </si>
  <si>
    <t>Loss on disposal of financial assets at fair value through profit or loss</t>
  </si>
  <si>
    <t>Fair value loss on financial assets at fair value through profit or loss</t>
  </si>
  <si>
    <t>Dividend income</t>
  </si>
  <si>
    <t>Interest income - Bank (HKD)</t>
  </si>
  <si>
    <t>OTHER OPERATING EXPENSES</t>
  </si>
  <si>
    <t>Salaries</t>
  </si>
  <si>
    <t>Contribution to Mandatory Provident Fund</t>
  </si>
  <si>
    <t>Consulting Fee</t>
  </si>
  <si>
    <t>Director's Remuneration</t>
  </si>
  <si>
    <t>Labour insurance</t>
  </si>
  <si>
    <t>Information technology expenses</t>
  </si>
  <si>
    <t>Legal &amp; Professional Fees</t>
  </si>
  <si>
    <t>Auditors' remuneration</t>
  </si>
  <si>
    <t>Business registration fee</t>
  </si>
  <si>
    <t>Audit Confirmation Fee</t>
  </si>
  <si>
    <t>Postage</t>
  </si>
  <si>
    <t>Stationery &amp; Printing</t>
  </si>
  <si>
    <t>Telephone &amp; fax</t>
  </si>
  <si>
    <t>Subscription fee</t>
  </si>
  <si>
    <t>License &amp; Registration Fee</t>
  </si>
  <si>
    <t>Interest paid to client</t>
  </si>
  <si>
    <t>Bank Charges</t>
  </si>
  <si>
    <t>Exchange Difference</t>
  </si>
  <si>
    <t>Sundry expenses</t>
  </si>
  <si>
    <t>CCASS Stock Maintenance Fee</t>
  </si>
  <si>
    <t>CCASS stock settlement fee</t>
  </si>
  <si>
    <t>DDI/DCI/CPI fee</t>
  </si>
  <si>
    <t>Book close scrip fee</t>
  </si>
  <si>
    <t>Corporate Action charge - Dividend collect</t>
  </si>
  <si>
    <t>Trading tariff</t>
  </si>
  <si>
    <t>Custody fee</t>
  </si>
  <si>
    <t>Stock Price Quote expense (Megahub)</t>
  </si>
  <si>
    <t>Income tax</t>
  </si>
  <si>
    <t>Income tax expenses</t>
  </si>
  <si>
    <t xml:space="preserve">Control </t>
  </si>
  <si>
    <t>(Profit) / Loss before income tax</t>
  </si>
  <si>
    <t>(PROFIT) / LOSS FOR THE YEAR</t>
  </si>
  <si>
    <t xml:space="preserve">     </t>
  </si>
  <si>
    <t>As per audited accounts</t>
  </si>
  <si>
    <t>HK$</t>
  </si>
  <si>
    <t xml:space="preserve"> </t>
  </si>
  <si>
    <t>Client: Zhongcai Securities Limited</t>
    <phoneticPr fontId="33" type="noConversion"/>
  </si>
  <si>
    <t>Year Ended: 31 December 2023</t>
  </si>
  <si>
    <t>Cash and bank balances</t>
  </si>
  <si>
    <t>(Profit) / Loss for the period</t>
  </si>
  <si>
    <t>Control</t>
  </si>
  <si>
    <t>PROFIT &amp; LOSS</t>
  </si>
  <si>
    <t>Net Current Assets</t>
  </si>
  <si>
    <t>Net assets</t>
    <phoneticPr fontId="3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</si>
</sst>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8">
    <numFmt numFmtId="5" formatCode="&quot;$&quot;#,##0_);\(&quot;$&quot;#,##0\)"/>
    <numFmt numFmtId="7" formatCode="&quot;$&quot;#,##0.00_);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#,##0.00_);\(#,##0.00\);&quot;-&quot;_);@_)"/>
    <numFmt numFmtId="167" formatCode="_ [$€-2]* #,##0.00_ ;_ [$€-2]* \-#,##0.00_ ;_ [$€-2]* &quot;-&quot;??_ "/>
    <numFmt numFmtId="168" formatCode="_([$USD]\ * #,##0.00_);_([$USD]\ * \(#,##0.00\);_([$USD]\ * &quot;-&quot;??_);_(@_)"/>
    <numFmt numFmtId="169" formatCode="_ * #,##0.00_ ;_ * \-#,##0.00_ ;_ * &quot;-&quot;??_ ;_ @_ "/>
    <numFmt numFmtId="170" formatCode="_-[$€-2]* #,##0.00_-;\-[$€-2]* #,##0.00_-;_-[$€-2]* &quot;-&quot;??_-"/>
    <numFmt numFmtId="171" formatCode="_-* #,##0_-;\-* #,##0_-;_-* &quot;-&quot;??_-;_-@_-"/>
    <numFmt numFmtId="172" formatCode="_ * #,##0_ ;_ * \-#,##0_ ;_ * &quot;-&quot;_ ;_ @_ "/>
    <numFmt numFmtId="173" formatCode="_-&quot;$&quot;* #,##0_-;\-&quot;$&quot;* #,##0_-;_-&quot;$&quot;* &quot;-&quot;_-;_-@_-"/>
    <numFmt numFmtId="174" formatCode="_-* #,##0_-;\-* #,##0_-;_-* &quot;-&quot;_-;_-@_-"/>
    <numFmt numFmtId="175" formatCode="0.0%"/>
    <numFmt numFmtId="176" formatCode="#,##0.0_);\(#,##0.0\)"/>
    <numFmt numFmtId="177" formatCode="_-#,##0_-;\(#,##0\);_-\ \ &quot;-&quot;_-;_-@_-"/>
    <numFmt numFmtId="178" formatCode="_-#,##0.00_-;\(#,##0.00\);_-\ \ &quot;-&quot;_-;_-@_-"/>
    <numFmt numFmtId="179" formatCode="mmm/dd/yyyy;_-\ &quot;N/A&quot;_-;_-\ &quot;-&quot;_-"/>
    <numFmt numFmtId="180" formatCode="mmm/yyyy;_-\ &quot;N/A&quot;_-;_-\ &quot;-&quot;_-"/>
    <numFmt numFmtId="181" formatCode="_-#,##0%_-;\(#,##0%\);_-\ &quot;-&quot;_-"/>
    <numFmt numFmtId="182" formatCode="_-#,###,_-;\(#,###,\);_-\ \ &quot;-&quot;_-;_-@_-"/>
    <numFmt numFmtId="183" formatCode="_-#,###.00,_-;\(#,###.00,\);_-\ \ &quot;-&quot;_-;_-@_-"/>
    <numFmt numFmtId="184" formatCode="_-#0&quot;.&quot;0,_-;\(#0&quot;.&quot;0,\);_-\ \ &quot;-&quot;_-;_-@_-"/>
    <numFmt numFmtId="185" formatCode="_-#0&quot;.&quot;0000_-;\(#0&quot;.&quot;0000\);_-\ \ &quot;-&quot;_-;_-@_-"/>
    <numFmt numFmtId="186" formatCode="_-* #,##0.0000000000_-;\-* #,##0.0000000000_-;_-* &quot;-&quot;??_-;_-@_-"/>
    <numFmt numFmtId="187" formatCode="#,##0;\-#,##0;&quot;-&quot;"/>
    <numFmt numFmtId="188" formatCode="\(#,##0\)\ "/>
    <numFmt numFmtId="189" formatCode="[Blue]0.0%;[Blue]\(0.0%\)"/>
    <numFmt numFmtId="190" formatCode="0.0%;\(0.0%\)"/>
    <numFmt numFmtId="191" formatCode="[Red]0.0%;[Red]\(0.0%\)"/>
    <numFmt numFmtId="192" formatCode="[Blue]#,##0_);[Blue]\(#,##0\)"/>
    <numFmt numFmtId="193" formatCode="#,##0_);[Blue]\(#,##0\)"/>
    <numFmt numFmtId="194" formatCode="&quot;\&quot;#,##0.00;&quot;\&quot;&quot;\&quot;&quot;\&quot;&quot;\&quot;&quot;\&quot;&quot;\&quot;&quot;\&quot;&quot;\&quot;&quot;\&quot;&quot;\&quot;&quot;\&quot;&quot;\&quot;&quot;\&quot;&quot;\&quot;&quot;\&quot;\-#,##0.00"/>
    <numFmt numFmtId="195" formatCode="0.0000"/>
    <numFmt numFmtId="196" formatCode="#,##0;\(#,##0\)"/>
    <numFmt numFmtId="197" formatCode="#,##0.0"/>
    <numFmt numFmtId="198" formatCode="* \(#,##0\);* #,##0_);&quot;-&quot;??_);@"/>
    <numFmt numFmtId="199" formatCode="General_)"/>
    <numFmt numFmtId="200" formatCode="\$#,##0.00;\(\$#,##0.00\)"/>
    <numFmt numFmtId="201" formatCode="#,##0.000000"/>
    <numFmt numFmtId="202" formatCode="* #,##0_);* \(#,##0\);&quot;-&quot;??_);@"/>
    <numFmt numFmtId="203" formatCode="\$#,##0;\(\$#,##0\)"/>
    <numFmt numFmtId="204" formatCode="0.00000000"/>
    <numFmt numFmtId="205" formatCode="0.00000000000_);[Red]\(0.00000000000\)"/>
    <numFmt numFmtId="206" formatCode="0.00_)"/>
    <numFmt numFmtId="207" formatCode="0%_);\(0%\)"/>
    <numFmt numFmtId="208" formatCode="0%;\(0%\)"/>
    <numFmt numFmtId="209" formatCode="mmmm\-yy"/>
    <numFmt numFmtId="210" formatCode="\ \ @"/>
    <numFmt numFmtId="211" formatCode="#,##0_);\(#,##0_)"/>
    <numFmt numFmtId="212" formatCode="_-* #,##0\ _k_r_-;\-* #,##0\ _k_r_-;_-* &quot;-&quot;\ _k_r_-;_-@_-"/>
    <numFmt numFmtId="213" formatCode="_-* #,##0.00\ _k_r_-;\-* #,##0.00\ _k_r_-;_-* &quot;-&quot;??\ _k_r_-;_-@_-"/>
    <numFmt numFmtId="214" formatCode="&quot;綅&quot;\t#,##0_);[Red]\(&quot;綅&quot;\t#,##0\)"/>
    <numFmt numFmtId="215" formatCode="&quot;?\t#,##0_);[Red]\(&quot;&quot;?&quot;\t#,##0\)"/>
    <numFmt numFmtId="216" formatCode="&quot;?&quot;#,##0_);[Red]\(&quot;?&quot;#,##0\)"/>
    <numFmt numFmtId="217" formatCode="&quot;?&quot;#,##0.00_);\(&quot;?&quot;#,##0.00\)"/>
    <numFmt numFmtId="218" formatCode="0.000000"/>
    <numFmt numFmtId="219" formatCode="&quot;$&quot;#,##0.00_);[Red]&quot;\&quot;&quot;\&quot;&quot;\&quot;&quot;\&quot;&quot;\&quot;&quot;\&quot;&quot;\&quot;&quot;\&quot;&quot;\&quot;&quot;\&quot;&quot;\&quot;&quot;\&quot;&quot;\&quot;&quot;\&quot;&quot;\&quot;&quot;\&quot;&quot;\&quot;&quot;\&quot;&quot;\&quot;&quot;\&quot;&quot;\&quot;&quot;\&quot;&quot;\&quot;\(&quot;$&quot;#,##0.00&quot;\&quot;&quot;\&quot;&quot;\&quot;&quot;\&quot;&quot;\&quot;&quot;\&quot;&quot;\&quot;&quot;\&quot;&quot;\&quot;&quot;\&quot;&quot;\&quot;&quot;\&quot;&quot;\&quot;&quot;\&quot;&quot;\&quot;&quot;\&quot;&quot;\&quot;&quot;\&quot;&quot;\&quot;&quot;\&quot;&quot;\&quot;&quot;\&quot;&quot;\&quot;\)"/>
    <numFmt numFmtId="220" formatCode="0.0000000"/>
    <numFmt numFmtId="221" formatCode="&quot;￥&quot;#,##0.00;[Red]&quot;￥&quot;\-#,##0.00"/>
    <numFmt numFmtId="222" formatCode="_ &quot;\&quot;* #,##0_ ;_ &quot;\&quot;* \-#,##0_ ;_ &quot;\&quot;* &quot;-&quot;_ ;_ @_ "/>
    <numFmt numFmtId="223" formatCode="_ &quot;\&quot;* #,##0.00_ ;_ &quot;\&quot;* \-#,##0.00_ ;_ &quot;\&quot;* &quot;-&quot;??_ ;_ @_ "/>
    <numFmt numFmtId="224" formatCode="&quot;\&quot;#,##0.00;[Red]&quot;\&quot;\-#,##0.00"/>
    <numFmt numFmtId="225" formatCode="&quot;\&quot;#,##0;[Red]&quot;\&quot;\-#,##0"/>
  </numFmts>
  <fonts count="1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6"/>
      <scheme val="minor"/>
    </font>
    <font>
      <sz val="12"/>
      <name val="新細明體"/>
      <family val="1"/>
      <charset val="136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charset val="136"/>
      <scheme val="minor"/>
    </font>
    <font>
      <sz val="11"/>
      <color theme="1"/>
      <name val="CG Times"/>
      <family val="2"/>
    </font>
    <font>
      <sz val="10"/>
      <name val="Arial"/>
      <family val="2"/>
    </font>
    <font>
      <b/>
      <sz val="10"/>
      <name val="Arial"/>
      <family val="2"/>
    </font>
    <font>
      <sz val="9"/>
      <name val="Arial Narrow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1"/>
      <name val="Arial"/>
      <family val="2"/>
    </font>
    <font>
      <sz val="11"/>
      <color indexed="8"/>
      <name val="Calibri"/>
      <family val="2"/>
    </font>
    <font>
      <b/>
      <sz val="10"/>
      <color indexed="10"/>
      <name val="Arial"/>
      <family val="2"/>
    </font>
    <font>
      <sz val="12"/>
      <name val="Arial"/>
      <family val="2"/>
    </font>
    <font>
      <sz val="10"/>
      <color indexed="8"/>
      <name val="MS Sans Serif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name val="宋体"/>
      <family val="3"/>
      <charset val="136"/>
    </font>
    <font>
      <sz val="12"/>
      <name val="Times New Roman"/>
      <family val="1"/>
    </font>
    <font>
      <sz val="10"/>
      <name val="Times New Roman"/>
      <family val="1"/>
    </font>
    <font>
      <sz val="11"/>
      <color theme="1"/>
      <name val="Calibri"/>
      <family val="1"/>
      <charset val="136"/>
      <scheme val="minor"/>
    </font>
    <font>
      <sz val="10"/>
      <name val="Helv"/>
      <family val="2"/>
    </font>
    <font>
      <sz val="11"/>
      <name val="CG Times"/>
      <family val="1"/>
    </font>
    <font>
      <sz val="11"/>
      <color indexed="8"/>
      <name val="新細明體"/>
      <family val="1"/>
      <charset val="136"/>
    </font>
    <font>
      <sz val="11"/>
      <color indexed="8"/>
      <name val="Calibri"/>
      <family val="1"/>
      <charset val="136"/>
    </font>
    <font>
      <sz val="8"/>
      <name val="Arial"/>
      <family val="2"/>
    </font>
    <font>
      <sz val="8.0500000000000007"/>
      <color indexed="8"/>
      <name val="Arial"/>
      <family val="2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1"/>
      <charset val="136"/>
    </font>
    <font>
      <sz val="8"/>
      <color rgb="FF000000"/>
      <name val="Arial"/>
      <family val="2"/>
    </font>
    <font>
      <b/>
      <sz val="12"/>
      <name val="Arial"/>
      <family val="2"/>
    </font>
    <font>
      <sz val="9"/>
      <name val="Calibri"/>
      <family val="3"/>
      <charset val="136"/>
      <scheme val="minor"/>
    </font>
    <font>
      <sz val="12"/>
      <color indexed="8"/>
      <name val="新細明體"/>
      <family val="1"/>
      <charset val="136"/>
    </font>
    <font>
      <sz val="9"/>
      <color indexed="10"/>
      <name val="Arial Narrow"/>
      <family val="2"/>
    </font>
    <font>
      <sz val="12"/>
      <color theme="1"/>
      <name val="Calibri"/>
      <family val="1"/>
      <charset val="136"/>
      <scheme val="minor"/>
    </font>
    <font>
      <sz val="11"/>
      <color theme="1"/>
      <name val="Calibri"/>
      <family val="2"/>
    </font>
    <font>
      <sz val="12"/>
      <color theme="1"/>
      <name val="Times New Roman"/>
      <family val="2"/>
      <charset val="134"/>
    </font>
    <font>
      <sz val="8"/>
      <name val="Wingdings"/>
      <charset val="2"/>
    </font>
    <font>
      <sz val="10"/>
      <name val="宋体"/>
      <family val="3"/>
      <charset val="134"/>
    </font>
    <font>
      <b/>
      <sz val="12"/>
      <name val="Times New Roman"/>
      <family val="1"/>
    </font>
    <font>
      <sz val="11"/>
      <color indexed="8"/>
      <name val="Arial"/>
      <family val="2"/>
    </font>
    <font>
      <sz val="11"/>
      <color indexed="8"/>
      <name val="Times New Roman"/>
      <family val="1"/>
    </font>
    <font>
      <sz val="12"/>
      <color theme="1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sz val="11"/>
      <name val="ＭＳ Ｐゴシック"/>
      <family val="2"/>
      <charset val="134"/>
    </font>
    <font>
      <u/>
      <sz val="10"/>
      <color indexed="12"/>
      <name val="Arial"/>
      <family val="2"/>
    </font>
    <font>
      <u/>
      <sz val="10"/>
      <color indexed="36"/>
      <name val="Arial"/>
      <family val="2"/>
    </font>
    <font>
      <sz val="12"/>
      <name val="???"/>
      <family val="1"/>
    </font>
    <font>
      <sz val="10"/>
      <name val="Geneva"/>
      <family val="2"/>
    </font>
    <font>
      <sz val="10"/>
      <name val="Tahoma"/>
      <family val="2"/>
    </font>
    <font>
      <u val="singleAccounting"/>
      <vertAlign val="subscript"/>
      <sz val="10"/>
      <name val="Times New Roman"/>
      <family val="1"/>
    </font>
    <font>
      <i/>
      <sz val="9"/>
      <name val="Times New Roman"/>
      <family val="1"/>
    </font>
    <font>
      <u/>
      <sz val="12"/>
      <color indexed="12"/>
      <name val="·s²Ó©úÅé"/>
      <family val="1"/>
    </font>
    <font>
      <sz val="13"/>
      <name val="Tms Rmn"/>
      <family val="1"/>
    </font>
    <font>
      <u/>
      <sz val="12"/>
      <color indexed="36"/>
      <name val="·s²Ó©úÅé"/>
      <family val="1"/>
    </font>
    <font>
      <sz val="8"/>
      <name val="Times New Roman"/>
      <family val="1"/>
    </font>
    <font>
      <b/>
      <sz val="10"/>
      <name val="Helv"/>
      <family val="2"/>
    </font>
    <font>
      <b/>
      <sz val="13"/>
      <name val="Tms Rmn"/>
      <family val="1"/>
    </font>
    <font>
      <b/>
      <sz val="8"/>
      <name val="Arial"/>
      <family val="2"/>
    </font>
    <font>
      <sz val="10"/>
      <color indexed="0"/>
      <name val="MS Sans Serif"/>
      <family val="2"/>
    </font>
    <font>
      <sz val="10"/>
      <name val="MS Serif"/>
      <family val="1"/>
    </font>
    <font>
      <sz val="12"/>
      <name val="Helv"/>
      <family val="2"/>
    </font>
    <font>
      <sz val="10"/>
      <color indexed="16"/>
      <name val="MS Serif"/>
      <family val="1"/>
    </font>
    <font>
      <sz val="9"/>
      <name val="Times New Roman"/>
      <family val="1"/>
    </font>
    <font>
      <u/>
      <sz val="6"/>
      <color indexed="36"/>
      <name val="Arial"/>
      <family val="2"/>
    </font>
    <font>
      <b/>
      <sz val="12"/>
      <name val="Helv"/>
      <family val="2"/>
    </font>
    <font>
      <b/>
      <sz val="8"/>
      <name val="MS Sans Serif"/>
      <family val="2"/>
    </font>
    <font>
      <u/>
      <sz val="6"/>
      <color indexed="12"/>
      <name val="Arial"/>
      <family val="2"/>
    </font>
    <font>
      <b/>
      <sz val="11"/>
      <name val="Helv"/>
      <family val="2"/>
    </font>
    <font>
      <sz val="7"/>
      <name val="Small Fonts"/>
      <family val="2"/>
    </font>
    <font>
      <b/>
      <i/>
      <sz val="16"/>
      <name val="Helv"/>
      <family val="2"/>
    </font>
    <font>
      <b/>
      <sz val="11"/>
      <color indexed="16"/>
      <name val="Times New Roman"/>
      <family val="1"/>
    </font>
    <font>
      <sz val="10"/>
      <name val="MS Sans Serif"/>
      <family val="2"/>
    </font>
    <font>
      <b/>
      <sz val="10"/>
      <name val="MS Sans Serif"/>
      <family val="2"/>
    </font>
    <font>
      <sz val="8"/>
      <color indexed="16"/>
      <name val="Century Schoolbook"/>
      <family val="1"/>
    </font>
    <font>
      <sz val="8"/>
      <name val="Helv"/>
      <family val="2"/>
    </font>
    <font>
      <b/>
      <i/>
      <sz val="10"/>
      <name val="Times New Roman"/>
      <family val="1"/>
    </font>
    <font>
      <sz val="8"/>
      <name val="MS Sans Serif"/>
      <family val="2"/>
    </font>
    <font>
      <b/>
      <sz val="12"/>
      <name val="MS Sans Serif"/>
      <family val="2"/>
    </font>
    <font>
      <sz val="12"/>
      <name val="MS Sans Serif"/>
      <family val="2"/>
    </font>
    <font>
      <b/>
      <sz val="8"/>
      <color indexed="8"/>
      <name val="Helv"/>
      <family val="2"/>
    </font>
    <font>
      <sz val="10"/>
      <name val="Courier"/>
      <family val="3"/>
    </font>
    <font>
      <sz val="11"/>
      <name val="明朝"/>
      <family val="1"/>
      <charset val="255"/>
    </font>
    <font>
      <sz val="12"/>
      <name val="돋움체"/>
      <family val="3"/>
    </font>
    <font>
      <sz val="11"/>
      <name val="돋움"/>
      <family val="2"/>
    </font>
    <font>
      <sz val="12"/>
      <name val="Courier"/>
      <family val="3"/>
    </font>
    <font>
      <u/>
      <sz val="12"/>
      <color indexed="20"/>
      <name val="宋体"/>
      <family val="3"/>
      <charset val="134"/>
    </font>
    <font>
      <u/>
      <sz val="12"/>
      <color indexed="12"/>
      <name val="宋体"/>
      <family val="3"/>
      <charset val="134"/>
    </font>
    <font>
      <sz val="10"/>
      <name val="俵俽 僑僔僢僋"/>
      <charset val="134"/>
    </font>
    <font>
      <sz val="10"/>
      <name val="明朝"/>
      <family val="1"/>
      <charset val="255"/>
    </font>
    <font>
      <sz val="11"/>
      <name val="俵俽 俹僑僔僢僋"/>
      <charset val="134"/>
    </font>
    <font>
      <sz val="11"/>
      <name val="蹈框"/>
      <charset val="134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17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60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52"/>
      <name val="宋体"/>
      <family val="3"/>
      <charset val="134"/>
    </font>
    <font>
      <sz val="12"/>
      <name val="新細明體"/>
      <family val="1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1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darkVertical"/>
    </fill>
  </fills>
  <borders count="2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881">
    <xf numFmtId="0" fontId="0" fillId="0" borderId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0" fontId="1" fillId="0" borderId="0"/>
    <xf numFmtId="166" fontId="9" fillId="0" borderId="0">
      <alignment vertical="center"/>
      <protection locked="0"/>
    </xf>
    <xf numFmtId="0" fontId="12" fillId="0" borderId="0"/>
    <xf numFmtId="43" fontId="12" fillId="0" borderId="0" applyFont="0" applyFill="0" applyBorder="0" applyAlignment="0" applyProtection="0"/>
    <xf numFmtId="0" fontId="1" fillId="0" borderId="0"/>
    <xf numFmtId="43" fontId="13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>
      <alignment wrapText="1"/>
    </xf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1" fillId="0" borderId="0"/>
    <xf numFmtId="9" fontId="3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3" fillId="0" borderId="0"/>
    <xf numFmtId="0" fontId="1" fillId="0" borderId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" fillId="0" borderId="0"/>
    <xf numFmtId="0" fontId="1" fillId="0" borderId="0"/>
    <xf numFmtId="43" fontId="1" fillId="0" borderId="0" applyFont="0" applyFill="0" applyBorder="0" applyAlignment="0" applyProtection="0"/>
    <xf numFmtId="0" fontId="7" fillId="0" borderId="0"/>
    <xf numFmtId="0" fontId="19" fillId="0" borderId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7" fillId="0" borderId="0"/>
    <xf numFmtId="0" fontId="22" fillId="0" borderId="0"/>
    <xf numFmtId="0" fontId="1" fillId="0" borderId="0"/>
    <xf numFmtId="0" fontId="23" fillId="0" borderId="0"/>
    <xf numFmtId="43" fontId="1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7" fillId="0" borderId="0" applyFont="0" applyFill="0" applyBorder="0" applyAlignment="0" applyProtection="0"/>
    <xf numFmtId="0" fontId="21" fillId="0" borderId="0">
      <alignment vertical="center"/>
    </xf>
    <xf numFmtId="9" fontId="7" fillId="0" borderId="0" applyFont="0" applyFill="0" applyBorder="0" applyAlignment="0" applyProtection="0"/>
    <xf numFmtId="0" fontId="22" fillId="0" borderId="0"/>
    <xf numFmtId="43" fontId="25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20" fillId="0" borderId="0"/>
    <xf numFmtId="43" fontId="26" fillId="0" borderId="0" applyFont="0" applyFill="0" applyBorder="0" applyAlignment="0" applyProtection="0"/>
    <xf numFmtId="0" fontId="27" fillId="0" borderId="0"/>
    <xf numFmtId="9" fontId="26" fillId="0" borderId="0" applyFont="0" applyFill="0" applyBorder="0" applyAlignment="0" applyProtection="0"/>
    <xf numFmtId="0" fontId="1" fillId="0" borderId="0"/>
    <xf numFmtId="0" fontId="1" fillId="0" borderId="0"/>
    <xf numFmtId="0" fontId="20" fillId="0" borderId="0"/>
    <xf numFmtId="0" fontId="7" fillId="0" borderId="0"/>
    <xf numFmtId="43" fontId="3" fillId="0" borderId="0" applyFont="0" applyFill="0" applyBorder="0" applyAlignment="0" applyProtection="0"/>
    <xf numFmtId="0" fontId="1" fillId="0" borderId="0"/>
    <xf numFmtId="43" fontId="7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7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2" fillId="0" borderId="0"/>
    <xf numFmtId="0" fontId="16" fillId="0" borderId="0"/>
    <xf numFmtId="0" fontId="16" fillId="0" borderId="0"/>
    <xf numFmtId="43" fontId="28" fillId="0" borderId="0" applyFont="0" applyFill="0" applyBorder="0" applyAlignment="0" applyProtection="0"/>
    <xf numFmtId="9" fontId="12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43" fontId="28" fillId="0" borderId="0" applyFont="0" applyFill="0" applyBorder="0" applyAlignment="0" applyProtection="0"/>
    <xf numFmtId="0" fontId="16" fillId="0" borderId="0"/>
    <xf numFmtId="0" fontId="16" fillId="0" borderId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43" fontId="28" fillId="0" borderId="0" applyFont="0" applyFill="0" applyBorder="0" applyAlignment="0" applyProtection="0"/>
    <xf numFmtId="0" fontId="16" fillId="0" borderId="0"/>
    <xf numFmtId="0" fontId="16" fillId="0" borderId="0"/>
    <xf numFmtId="43" fontId="28" fillId="0" borderId="0" applyFont="0" applyFill="0" applyBorder="0" applyAlignment="0" applyProtection="0"/>
    <xf numFmtId="167" fontId="7" fillId="0" borderId="0">
      <alignment vertical="top"/>
    </xf>
    <xf numFmtId="167" fontId="7" fillId="0" borderId="0">
      <protection locked="0"/>
    </xf>
    <xf numFmtId="43" fontId="1" fillId="0" borderId="0" applyFont="0" applyFill="0" applyBorder="0" applyAlignment="0" applyProtection="0"/>
    <xf numFmtId="0" fontId="7" fillId="0" borderId="0"/>
    <xf numFmtId="0" fontId="1" fillId="0" borderId="0"/>
    <xf numFmtId="0" fontId="20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67" fontId="16" fillId="0" borderId="0"/>
    <xf numFmtId="167" fontId="12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29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168" fontId="4" fillId="0" borderId="0"/>
    <xf numFmtId="9" fontId="6" fillId="0" borderId="0" applyFont="0" applyFill="0" applyBorder="0" applyAlignment="0" applyProtection="0"/>
    <xf numFmtId="0" fontId="10" fillId="0" borderId="0">
      <alignment vertical="top"/>
    </xf>
    <xf numFmtId="0" fontId="30" fillId="0" borderId="0"/>
    <xf numFmtId="9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9" fillId="0" borderId="0" applyFont="0" applyFill="0" applyBorder="0" applyAlignment="0" applyProtection="0">
      <alignment vertical="center"/>
    </xf>
    <xf numFmtId="0" fontId="31" fillId="0" borderId="0">
      <alignment horizontal="left" vertical="top"/>
      <protection locked="0"/>
    </xf>
    <xf numFmtId="43" fontId="1" fillId="0" borderId="0" applyFont="0" applyFill="0" applyBorder="0" applyAlignment="0" applyProtection="0"/>
    <xf numFmtId="0" fontId="1" fillId="0" borderId="0"/>
    <xf numFmtId="3" fontId="7" fillId="0" borderId="0" applyFont="0" applyFill="0" applyBorder="0" applyAlignment="0" applyProtection="0"/>
    <xf numFmtId="0" fontId="31" fillId="0" borderId="0">
      <alignment horizontal="left" vertical="top"/>
      <protection locked="0"/>
    </xf>
    <xf numFmtId="0" fontId="7" fillId="0" borderId="0">
      <alignment vertical="top"/>
    </xf>
    <xf numFmtId="9" fontId="4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1" fillId="0" borderId="0"/>
    <xf numFmtId="0" fontId="4" fillId="0" borderId="0"/>
    <xf numFmtId="43" fontId="34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0" fontId="3" fillId="0" borderId="0">
      <alignment vertical="center"/>
    </xf>
    <xf numFmtId="43" fontId="4" fillId="0" borderId="0" applyFont="0" applyFill="0" applyBorder="0" applyAlignment="0" applyProtection="0"/>
    <xf numFmtId="170" fontId="7" fillId="0" borderId="0"/>
    <xf numFmtId="0" fontId="3" fillId="0" borderId="0">
      <alignment vertical="center"/>
    </xf>
    <xf numFmtId="0" fontId="1" fillId="0" borderId="0"/>
    <xf numFmtId="0" fontId="1" fillId="0" borderId="0"/>
    <xf numFmtId="43" fontId="1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0" fontId="7" fillId="0" borderId="0"/>
    <xf numFmtId="43" fontId="24" fillId="0" borderId="0" applyFont="0" applyFill="0" applyBorder="0" applyAlignment="0" applyProtection="0"/>
    <xf numFmtId="166" fontId="35" fillId="0" borderId="0">
      <alignment vertical="center"/>
      <protection locked="0"/>
    </xf>
    <xf numFmtId="43" fontId="7" fillId="0" borderId="0" applyFont="0" applyFill="0" applyBorder="0" applyAlignment="0" applyProtection="0"/>
    <xf numFmtId="0" fontId="7" fillId="0" borderId="0">
      <alignment vertical="top"/>
    </xf>
    <xf numFmtId="43" fontId="3" fillId="0" borderId="0" applyFont="0" applyFill="0" applyBorder="0" applyAlignment="0" applyProtection="0">
      <alignment vertical="center"/>
    </xf>
    <xf numFmtId="0" fontId="36" fillId="0" borderId="0"/>
    <xf numFmtId="0" fontId="7" fillId="0" borderId="0"/>
    <xf numFmtId="0" fontId="3" fillId="0" borderId="0">
      <alignment vertical="center"/>
    </xf>
    <xf numFmtId="0" fontId="7" fillId="0" borderId="0">
      <alignment vertical="top"/>
    </xf>
    <xf numFmtId="43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" fontId="7" fillId="3" borderId="0" applyFont="0" applyFill="0" applyBorder="0" applyAlignment="0" applyProtection="0"/>
    <xf numFmtId="170" fontId="3" fillId="0" borderId="0"/>
    <xf numFmtId="0" fontId="1" fillId="0" borderId="0"/>
    <xf numFmtId="43" fontId="26" fillId="0" borderId="0" applyFont="0" applyFill="0" applyBorder="0" applyAlignment="0" applyProtection="0"/>
    <xf numFmtId="0" fontId="7" fillId="0" borderId="0"/>
    <xf numFmtId="0" fontId="7" fillId="0" borderId="0"/>
    <xf numFmtId="43" fontId="1" fillId="0" borderId="0" applyFont="0" applyFill="0" applyBorder="0" applyAlignment="0" applyProtection="0"/>
    <xf numFmtId="170" fontId="3" fillId="0" borderId="0">
      <alignment vertical="center"/>
    </xf>
    <xf numFmtId="0" fontId="1" fillId="0" borderId="0"/>
    <xf numFmtId="170" fontId="7" fillId="0" borderId="0">
      <protection locked="0"/>
    </xf>
    <xf numFmtId="170" fontId="3" fillId="0" borderId="0">
      <alignment vertical="center"/>
    </xf>
    <xf numFmtId="170" fontId="37" fillId="0" borderId="0"/>
    <xf numFmtId="170" fontId="37" fillId="0" borderId="0"/>
    <xf numFmtId="43" fontId="38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20" fillId="0" borderId="0" applyNumberFormat="0" applyFill="0" applyProtection="0">
      <alignment vertical="center"/>
    </xf>
    <xf numFmtId="0" fontId="3" fillId="0" borderId="0">
      <alignment vertical="center"/>
    </xf>
    <xf numFmtId="0" fontId="7" fillId="0" borderId="0"/>
    <xf numFmtId="0" fontId="37" fillId="0" borderId="0"/>
    <xf numFmtId="0" fontId="7" fillId="0" borderId="0"/>
    <xf numFmtId="170" fontId="7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3" fillId="0" borderId="0"/>
    <xf numFmtId="0" fontId="7" fillId="0" borderId="0"/>
    <xf numFmtId="0" fontId="1" fillId="0" borderId="0"/>
    <xf numFmtId="43" fontId="3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>
      <alignment vertical="center"/>
    </xf>
    <xf numFmtId="0" fontId="40" fillId="0" borderId="0"/>
    <xf numFmtId="43" fontId="36" fillId="0" borderId="0" applyFont="0" applyFill="0" applyBorder="0" applyAlignment="0" applyProtection="0">
      <alignment vertical="center"/>
    </xf>
    <xf numFmtId="0" fontId="1" fillId="0" borderId="0"/>
    <xf numFmtId="165" fontId="42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167" fontId="12" fillId="0" borderId="0"/>
    <xf numFmtId="3" fontId="7" fillId="3" borderId="0" applyFont="0" applyFill="0" applyBorder="0" applyAlignment="0" applyProtection="0"/>
    <xf numFmtId="9" fontId="3" fillId="0" borderId="0" applyFont="0" applyFill="0" applyBorder="0" applyAlignment="0" applyProtection="0"/>
    <xf numFmtId="43" fontId="12" fillId="0" borderId="0" applyFont="0" applyFill="0" applyBorder="0" applyAlignment="0" applyProtection="0"/>
    <xf numFmtId="170" fontId="24" fillId="0" borderId="0"/>
    <xf numFmtId="0" fontId="27" fillId="0" borderId="0" applyAlignment="0">
      <alignment vertical="top" wrapText="1"/>
      <protection locked="0"/>
    </xf>
    <xf numFmtId="0" fontId="3" fillId="0" borderId="0">
      <alignment vertical="center"/>
    </xf>
    <xf numFmtId="165" fontId="3" fillId="0" borderId="0" applyFont="0" applyFill="0" applyBorder="0" applyAlignment="0" applyProtection="0">
      <alignment vertical="center"/>
    </xf>
    <xf numFmtId="165" fontId="1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168" fontId="4" fillId="0" borderId="0"/>
    <xf numFmtId="165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165" fontId="3" fillId="0" borderId="0" applyFont="0" applyFill="0" applyBorder="0" applyAlignment="0" applyProtection="0">
      <alignment vertical="center"/>
    </xf>
    <xf numFmtId="0" fontId="4" fillId="0" borderId="0"/>
    <xf numFmtId="165" fontId="34" fillId="0" borderId="0" applyFont="0" applyFill="0" applyBorder="0" applyAlignment="0" applyProtection="0">
      <alignment vertical="center"/>
    </xf>
    <xf numFmtId="165" fontId="7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3" fillId="0" borderId="0" applyFont="0" applyFill="0" applyBorder="0" applyAlignment="0" applyProtection="0">
      <alignment vertical="center"/>
    </xf>
    <xf numFmtId="165" fontId="24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3" fillId="0" borderId="0" applyFont="0" applyFill="0" applyBorder="0" applyAlignment="0" applyProtection="0">
      <alignment vertical="center"/>
    </xf>
    <xf numFmtId="165" fontId="1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>
      <alignment vertical="center"/>
    </xf>
    <xf numFmtId="165" fontId="2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8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20" fillId="0" borderId="0" applyNumberFormat="0" applyFill="0" applyProtection="0">
      <alignment vertical="center"/>
    </xf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3" fillId="0" borderId="0" applyFont="0" applyFill="0" applyBorder="0" applyAlignment="0" applyProtection="0">
      <alignment vertical="center"/>
    </xf>
    <xf numFmtId="165" fontId="7" fillId="0" borderId="0" applyFont="0" applyFill="0" applyBorder="0" applyAlignment="0" applyProtection="0"/>
    <xf numFmtId="165" fontId="36" fillId="0" borderId="0" applyFont="0" applyFill="0" applyBorder="0" applyAlignment="0" applyProtection="0">
      <alignment vertical="center"/>
    </xf>
    <xf numFmtId="165" fontId="4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3" fillId="0" borderId="0">
      <alignment vertical="center"/>
    </xf>
    <xf numFmtId="3" fontId="19" fillId="0" borderId="8" applyFont="0" applyAlignment="0">
      <alignment horizontal="right" vertical="center"/>
    </xf>
    <xf numFmtId="0" fontId="48" fillId="0" borderId="0" applyFont="0" applyFill="0" applyBorder="0" applyAlignment="0" applyProtection="0"/>
    <xf numFmtId="0" fontId="50" fillId="0" borderId="0" applyNumberFormat="0" applyFill="0" applyBorder="0" applyAlignment="0" applyProtection="0">
      <alignment vertical="top"/>
      <protection locked="0"/>
    </xf>
    <xf numFmtId="37" fontId="19" fillId="0" borderId="8" applyFont="0" applyAlignment="0">
      <alignment horizontal="right" vertical="center"/>
    </xf>
    <xf numFmtId="0" fontId="49" fillId="0" borderId="0" applyNumberFormat="0" applyFill="0" applyBorder="0" applyAlignment="0" applyProtection="0">
      <alignment vertical="top"/>
      <protection locked="0"/>
    </xf>
    <xf numFmtId="0" fontId="48" fillId="0" borderId="0" applyFont="0" applyFill="0" applyBorder="0" applyAlignment="0" applyProtection="0"/>
    <xf numFmtId="0" fontId="51" fillId="0" borderId="0"/>
    <xf numFmtId="49" fontId="21" fillId="0" borderId="0" applyProtection="0">
      <alignment horizontal="left"/>
    </xf>
    <xf numFmtId="0" fontId="10" fillId="0" borderId="0">
      <alignment vertical="top"/>
    </xf>
    <xf numFmtId="0" fontId="7" fillId="0" borderId="0"/>
    <xf numFmtId="0" fontId="10" fillId="0" borderId="0">
      <alignment vertical="top"/>
    </xf>
    <xf numFmtId="0" fontId="52" fillId="0" borderId="0"/>
    <xf numFmtId="0" fontId="7" fillId="0" borderId="0"/>
    <xf numFmtId="0" fontId="52" fillId="0" borderId="0"/>
    <xf numFmtId="0" fontId="10" fillId="0" borderId="0">
      <alignment vertical="top"/>
    </xf>
    <xf numFmtId="0" fontId="19" fillId="0" borderId="0"/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38" fontId="53" fillId="0" borderId="0"/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20" fillId="0" borderId="0"/>
    <xf numFmtId="0" fontId="20" fillId="0" borderId="0"/>
    <xf numFmtId="0" fontId="20" fillId="0" borderId="0"/>
    <xf numFmtId="0" fontId="20" fillId="0" borderId="0"/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7" fillId="0" borderId="0"/>
    <xf numFmtId="0" fontId="7" fillId="0" borderId="0"/>
    <xf numFmtId="0" fontId="10" fillId="0" borderId="0">
      <alignment vertical="top"/>
    </xf>
    <xf numFmtId="0" fontId="7" fillId="0" borderId="0"/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7" fillId="0" borderId="0"/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7" fillId="0" borderId="0"/>
    <xf numFmtId="38" fontId="53" fillId="0" borderId="0"/>
    <xf numFmtId="0" fontId="10" fillId="0" borderId="0">
      <alignment vertical="top"/>
    </xf>
    <xf numFmtId="0" fontId="7" fillId="0" borderId="0"/>
    <xf numFmtId="0" fontId="7" fillId="0" borderId="0"/>
    <xf numFmtId="0" fontId="10" fillId="0" borderId="0">
      <alignment vertical="top"/>
    </xf>
    <xf numFmtId="0" fontId="7" fillId="0" borderId="0"/>
    <xf numFmtId="0" fontId="10" fillId="0" borderId="0">
      <alignment vertical="top"/>
    </xf>
    <xf numFmtId="0" fontId="10" fillId="0" borderId="0">
      <alignment vertical="top"/>
    </xf>
    <xf numFmtId="0" fontId="20" fillId="0" borderId="0"/>
    <xf numFmtId="0" fontId="7" fillId="0" borderId="0"/>
    <xf numFmtId="0" fontId="7" fillId="0" borderId="0"/>
    <xf numFmtId="0" fontId="7" fillId="0" borderId="0"/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20" fillId="0" borderId="0"/>
    <xf numFmtId="0" fontId="7" fillId="0" borderId="0"/>
    <xf numFmtId="0" fontId="10" fillId="0" borderId="0">
      <alignment vertical="top"/>
    </xf>
    <xf numFmtId="0" fontId="20" fillId="0" borderId="0"/>
    <xf numFmtId="0" fontId="7" fillId="0" borderId="0"/>
    <xf numFmtId="0" fontId="7" fillId="0" borderId="0"/>
    <xf numFmtId="0" fontId="10" fillId="0" borderId="0">
      <alignment vertical="top"/>
    </xf>
    <xf numFmtId="0" fontId="52" fillId="0" borderId="0"/>
    <xf numFmtId="0" fontId="7" fillId="0" borderId="0"/>
    <xf numFmtId="0" fontId="10" fillId="0" borderId="0">
      <alignment vertical="top"/>
    </xf>
    <xf numFmtId="0" fontId="20" fillId="0" borderId="0"/>
    <xf numFmtId="0" fontId="7" fillId="0" borderId="0"/>
    <xf numFmtId="0" fontId="7" fillId="0" borderId="0"/>
    <xf numFmtId="0" fontId="10" fillId="0" borderId="0">
      <alignment vertical="top"/>
    </xf>
    <xf numFmtId="0" fontId="52" fillId="0" borderId="0"/>
    <xf numFmtId="0" fontId="7" fillId="0" borderId="0"/>
    <xf numFmtId="0" fontId="7" fillId="0" borderId="0"/>
    <xf numFmtId="0" fontId="10" fillId="0" borderId="0">
      <alignment vertical="top"/>
    </xf>
    <xf numFmtId="0" fontId="7" fillId="0" borderId="0"/>
    <xf numFmtId="0" fontId="52" fillId="0" borderId="0"/>
    <xf numFmtId="0" fontId="7" fillId="0" borderId="0"/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52" fillId="0" borderId="0"/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52" fillId="0" borderId="0"/>
    <xf numFmtId="0" fontId="7" fillId="0" borderId="0"/>
    <xf numFmtId="0" fontId="10" fillId="0" borderId="0">
      <alignment vertical="top"/>
    </xf>
    <xf numFmtId="0" fontId="52" fillId="0" borderId="0"/>
    <xf numFmtId="0" fontId="52" fillId="0" borderId="0"/>
    <xf numFmtId="0" fontId="52" fillId="0" borderId="0"/>
    <xf numFmtId="0" fontId="7" fillId="0" borderId="0"/>
    <xf numFmtId="0" fontId="10" fillId="0" borderId="0">
      <alignment vertical="top"/>
    </xf>
    <xf numFmtId="0" fontId="20" fillId="0" borderId="0"/>
    <xf numFmtId="0" fontId="10" fillId="0" borderId="0">
      <alignment vertical="top"/>
    </xf>
    <xf numFmtId="0" fontId="20" fillId="0" borderId="0"/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52" fillId="0" borderId="0"/>
    <xf numFmtId="0" fontId="7" fillId="0" borderId="0"/>
    <xf numFmtId="0" fontId="10" fillId="0" borderId="0">
      <alignment vertical="top"/>
    </xf>
    <xf numFmtId="0" fontId="7" fillId="0" borderId="0"/>
    <xf numFmtId="0" fontId="10" fillId="0" borderId="0">
      <alignment vertical="top"/>
    </xf>
    <xf numFmtId="0" fontId="7" fillId="0" borderId="0"/>
    <xf numFmtId="0" fontId="10" fillId="0" borderId="0">
      <alignment vertical="top"/>
    </xf>
    <xf numFmtId="0" fontId="10" fillId="0" borderId="0">
      <alignment vertical="top"/>
    </xf>
    <xf numFmtId="0" fontId="20" fillId="0" borderId="0"/>
    <xf numFmtId="0" fontId="10" fillId="0" borderId="0">
      <alignment vertical="top"/>
    </xf>
    <xf numFmtId="0" fontId="10" fillId="0" borderId="0">
      <alignment vertical="top"/>
    </xf>
    <xf numFmtId="0" fontId="7" fillId="0" borderId="0"/>
    <xf numFmtId="0" fontId="10" fillId="0" borderId="0">
      <alignment vertical="top"/>
    </xf>
    <xf numFmtId="0" fontId="7" fillId="0" borderId="0"/>
    <xf numFmtId="177" fontId="21" fillId="0" borderId="0" applyFill="0" applyBorder="0" applyProtection="0">
      <alignment horizontal="right"/>
    </xf>
    <xf numFmtId="178" fontId="21" fillId="0" borderId="0" applyFill="0" applyBorder="0" applyProtection="0">
      <alignment horizontal="right"/>
    </xf>
    <xf numFmtId="179" fontId="54" fillId="0" borderId="0" applyFill="0" applyBorder="0" applyProtection="0">
      <alignment horizontal="center"/>
    </xf>
    <xf numFmtId="180" fontId="54" fillId="0" borderId="0" applyFill="0" applyBorder="0" applyProtection="0">
      <alignment horizontal="center"/>
    </xf>
    <xf numFmtId="181" fontId="55" fillId="0" borderId="0" applyFill="0" applyBorder="0" applyProtection="0">
      <alignment horizontal="right"/>
    </xf>
    <xf numFmtId="182" fontId="21" fillId="0" borderId="0" applyFill="0" applyBorder="0" applyProtection="0">
      <alignment horizontal="right"/>
    </xf>
    <xf numFmtId="183" fontId="21" fillId="0" borderId="0" applyFill="0" applyBorder="0" applyProtection="0">
      <alignment horizontal="right"/>
    </xf>
    <xf numFmtId="184" fontId="21" fillId="0" borderId="0" applyFill="0" applyBorder="0" applyProtection="0">
      <alignment horizontal="right"/>
    </xf>
    <xf numFmtId="185" fontId="21" fillId="0" borderId="0" applyFill="0" applyBorder="0" applyProtection="0">
      <alignment horizontal="right"/>
    </xf>
    <xf numFmtId="0" fontId="56" fillId="0" borderId="0" applyNumberFormat="0" applyFill="0" applyBorder="0" applyAlignment="0" applyProtection="0">
      <alignment vertical="top"/>
      <protection locked="0"/>
    </xf>
    <xf numFmtId="186" fontId="19" fillId="0" borderId="0" applyFont="0" applyFill="0" applyBorder="0" applyAlignment="0" applyProtection="0"/>
    <xf numFmtId="0" fontId="20" fillId="0" borderId="0"/>
    <xf numFmtId="175" fontId="57" fillId="0" borderId="0" applyFont="0" applyFill="0" applyBorder="0" applyAlignment="0" applyProtection="0"/>
    <xf numFmtId="10" fontId="57" fillId="0" borderId="0" applyFont="0" applyFill="0" applyBorder="0" applyAlignment="0" applyProtection="0"/>
    <xf numFmtId="0" fontId="19" fillId="0" borderId="0" applyNumberFormat="0" applyFont="0" applyFill="0" applyBorder="0" applyAlignment="0">
      <alignment horizontal="center" vertical="center"/>
    </xf>
    <xf numFmtId="0" fontId="96" fillId="4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9" borderId="0" applyNumberFormat="0" applyBorder="0" applyAlignment="0" applyProtection="0">
      <alignment vertical="center"/>
    </xf>
    <xf numFmtId="0" fontId="7" fillId="0" borderId="0" applyBorder="0"/>
    <xf numFmtId="0" fontId="96" fillId="10" borderId="0" applyNumberFormat="0" applyBorder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10" borderId="0" applyNumberFormat="0" applyBorder="0" applyAlignment="0" applyProtection="0">
      <alignment vertical="center"/>
    </xf>
    <xf numFmtId="0" fontId="96" fillId="13" borderId="0" applyNumberFormat="0" applyBorder="0" applyAlignment="0" applyProtection="0">
      <alignment vertical="center"/>
    </xf>
    <xf numFmtId="0" fontId="97" fillId="14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7" borderId="0" applyNumberFormat="0" applyBorder="0" applyAlignment="0" applyProtection="0">
      <alignment vertical="center"/>
    </xf>
    <xf numFmtId="0" fontId="52" fillId="0" borderId="0"/>
    <xf numFmtId="0" fontId="19" fillId="0" borderId="0" applyNumberFormat="0" applyFont="0"/>
    <xf numFmtId="0" fontId="58" fillId="0" borderId="0" applyNumberFormat="0" applyFill="0" applyBorder="0" applyAlignment="0" applyProtection="0">
      <alignment vertical="top"/>
      <protection locked="0"/>
    </xf>
    <xf numFmtId="0" fontId="59" fillId="0" borderId="0">
      <alignment horizontal="center" wrapText="1"/>
      <protection locked="0"/>
    </xf>
    <xf numFmtId="187" fontId="10" fillId="0" borderId="0" applyFill="0" applyBorder="0" applyAlignment="0"/>
    <xf numFmtId="188" fontId="7" fillId="0" borderId="0" applyFill="0" applyBorder="0" applyAlignment="0"/>
    <xf numFmtId="189" fontId="7" fillId="0" borderId="0" applyFill="0" applyBorder="0" applyAlignment="0"/>
    <xf numFmtId="190" fontId="7" fillId="0" borderId="0" applyFill="0" applyBorder="0" applyAlignment="0"/>
    <xf numFmtId="191" fontId="7" fillId="0" borderId="0" applyFill="0" applyBorder="0" applyAlignment="0"/>
    <xf numFmtId="192" fontId="7" fillId="0" borderId="0" applyFill="0" applyBorder="0" applyAlignment="0"/>
    <xf numFmtId="193" fontId="7" fillId="0" borderId="0" applyFill="0" applyBorder="0" applyAlignment="0"/>
    <xf numFmtId="188" fontId="7" fillId="0" borderId="0" applyFill="0" applyBorder="0" applyAlignment="0"/>
    <xf numFmtId="0" fontId="60" fillId="0" borderId="0"/>
    <xf numFmtId="0" fontId="61" fillId="0" borderId="3" applyNumberFormat="0" applyFill="0" applyProtection="0">
      <alignment horizontal="center"/>
    </xf>
    <xf numFmtId="0" fontId="62" fillId="0" borderId="7">
      <alignment horizontal="center"/>
    </xf>
    <xf numFmtId="194" fontId="7" fillId="0" borderId="0"/>
    <xf numFmtId="194" fontId="7" fillId="0" borderId="0"/>
    <xf numFmtId="194" fontId="7" fillId="0" borderId="0"/>
    <xf numFmtId="194" fontId="7" fillId="0" borderId="0"/>
    <xf numFmtId="194" fontId="7" fillId="0" borderId="0"/>
    <xf numFmtId="194" fontId="7" fillId="0" borderId="0"/>
    <xf numFmtId="194" fontId="7" fillId="0" borderId="0"/>
    <xf numFmtId="194" fontId="7" fillId="0" borderId="0"/>
    <xf numFmtId="192" fontId="7" fillId="0" borderId="0" applyFont="0" applyFill="0" applyBorder="0" applyAlignment="0" applyProtection="0"/>
    <xf numFmtId="195" fontId="7" fillId="0" borderId="0" applyFont="0" applyFill="0"/>
    <xf numFmtId="165" fontId="42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196" fontId="21" fillId="0" borderId="0"/>
    <xf numFmtId="37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39" fontId="57" fillId="0" borderId="0" applyFont="0" applyFill="0" applyBorder="0" applyAlignment="0" applyProtection="0"/>
    <xf numFmtId="0" fontId="63" fillId="0" borderId="0" applyNumberFormat="0" applyFill="0" applyBorder="0" applyAlignment="0" applyProtection="0"/>
    <xf numFmtId="197" fontId="21" fillId="0" borderId="0"/>
    <xf numFmtId="0" fontId="64" fillId="0" borderId="0" applyNumberFormat="0" applyAlignment="0">
      <alignment horizontal="left"/>
    </xf>
    <xf numFmtId="198" fontId="21" fillId="0" borderId="0" applyFill="0" applyBorder="0" applyProtection="0"/>
    <xf numFmtId="199" fontId="65" fillId="0" borderId="0"/>
    <xf numFmtId="188" fontId="7" fillId="0" borderId="0" applyFont="0" applyFill="0" applyBorder="0" applyAlignment="0" applyProtection="0"/>
    <xf numFmtId="5" fontId="57" fillId="0" borderId="0" applyFont="0" applyFill="0" applyBorder="0" applyAlignment="0" applyProtection="0"/>
    <xf numFmtId="7" fontId="57" fillId="0" borderId="0" applyFont="0" applyFill="0" applyBorder="0" applyAlignment="0" applyProtection="0"/>
    <xf numFmtId="0" fontId="63" fillId="0" borderId="0" applyNumberFormat="0" applyFill="0" applyBorder="0" applyAlignment="0" applyProtection="0"/>
    <xf numFmtId="200" fontId="21" fillId="0" borderId="0"/>
    <xf numFmtId="201" fontId="7" fillId="0" borderId="0">
      <protection locked="0"/>
    </xf>
    <xf numFmtId="14" fontId="10" fillId="0" borderId="0" applyFill="0" applyBorder="0" applyAlignment="0"/>
    <xf numFmtId="0" fontId="15" fillId="0" borderId="0" applyFont="0" applyFill="0" applyBorder="0" applyAlignment="0" applyProtection="0"/>
    <xf numFmtId="202" fontId="21" fillId="0" borderId="0" applyFill="0" applyBorder="0" applyProtection="0"/>
    <xf numFmtId="174" fontId="7" fillId="0" borderId="0" applyFont="0" applyFill="0" applyBorder="0" applyAlignment="0" applyProtection="0"/>
    <xf numFmtId="0" fontId="65" fillId="0" borderId="0" applyFont="0" applyFill="0" applyBorder="0" applyAlignment="0" applyProtection="0"/>
    <xf numFmtId="203" fontId="21" fillId="0" borderId="0"/>
    <xf numFmtId="192" fontId="7" fillId="0" borderId="0" applyFill="0" applyBorder="0" applyAlignment="0"/>
    <xf numFmtId="188" fontId="7" fillId="0" borderId="0" applyFill="0" applyBorder="0" applyAlignment="0"/>
    <xf numFmtId="192" fontId="7" fillId="0" borderId="0" applyFill="0" applyBorder="0" applyAlignment="0"/>
    <xf numFmtId="193" fontId="7" fillId="0" borderId="0" applyFill="0" applyBorder="0" applyAlignment="0"/>
    <xf numFmtId="188" fontId="7" fillId="0" borderId="0" applyFill="0" applyBorder="0" applyAlignment="0"/>
    <xf numFmtId="0" fontId="66" fillId="0" borderId="0" applyNumberFormat="0" applyAlignment="0">
      <alignment horizontal="left"/>
    </xf>
    <xf numFmtId="0" fontId="67" fillId="0" borderId="0">
      <alignment horizontal="left"/>
    </xf>
    <xf numFmtId="0" fontId="27" fillId="24" borderId="8"/>
    <xf numFmtId="170" fontId="3" fillId="0" borderId="0" applyFont="0" applyFill="0" applyBorder="0" applyAlignment="0" applyProtection="0"/>
    <xf numFmtId="0" fontId="20" fillId="0" borderId="0" applyNumberFormat="0" applyFill="0" applyBorder="0" applyAlignment="0" applyProtection="0"/>
    <xf numFmtId="201" fontId="7" fillId="0" borderId="0">
      <protection locked="0"/>
    </xf>
    <xf numFmtId="201" fontId="7" fillId="0" borderId="0">
      <protection locked="0"/>
    </xf>
    <xf numFmtId="201" fontId="7" fillId="0" borderId="0">
      <protection locked="0"/>
    </xf>
    <xf numFmtId="201" fontId="7" fillId="0" borderId="0">
      <protection locked="0"/>
    </xf>
    <xf numFmtId="201" fontId="7" fillId="0" borderId="0">
      <protection locked="0"/>
    </xf>
    <xf numFmtId="201" fontId="7" fillId="0" borderId="0">
      <protection locked="0"/>
    </xf>
    <xf numFmtId="201" fontId="7" fillId="0" borderId="0">
      <protection locked="0"/>
    </xf>
    <xf numFmtId="201" fontId="7" fillId="0" borderId="0">
      <protection locked="0"/>
    </xf>
    <xf numFmtId="38" fontId="27" fillId="2" borderId="0" applyNumberFormat="0" applyBorder="0" applyAlignment="0" applyProtection="0"/>
    <xf numFmtId="0" fontId="69" fillId="0" borderId="0">
      <alignment horizontal="left"/>
    </xf>
    <xf numFmtId="0" fontId="32" fillId="0" borderId="5" applyNumberFormat="0" applyAlignment="0" applyProtection="0">
      <alignment horizontal="left" vertical="center"/>
    </xf>
    <xf numFmtId="0" fontId="32" fillId="0" borderId="6">
      <alignment horizontal="left" vertical="center"/>
    </xf>
    <xf numFmtId="14" fontId="8" fillId="25" borderId="1">
      <alignment horizontal="center" vertical="center" wrapText="1"/>
    </xf>
    <xf numFmtId="201" fontId="7" fillId="0" borderId="0">
      <protection locked="0"/>
    </xf>
    <xf numFmtId="201" fontId="7" fillId="0" borderId="0">
      <protection locked="0"/>
    </xf>
    <xf numFmtId="0" fontId="70" fillId="0" borderId="1">
      <alignment horizontal="center"/>
    </xf>
    <xf numFmtId="0" fontId="70" fillId="0" borderId="0">
      <alignment horizontal="center"/>
    </xf>
    <xf numFmtId="10" fontId="27" fillId="26" borderId="8" applyNumberFormat="0" applyBorder="0" applyAlignment="0" applyProtection="0"/>
    <xf numFmtId="0" fontId="21" fillId="0" borderId="0" applyNumberFormat="0" applyFont="0" applyFill="0" applyBorder="0" applyProtection="0">
      <alignment horizontal="left" vertical="center"/>
    </xf>
    <xf numFmtId="192" fontId="7" fillId="0" borderId="0" applyFill="0" applyBorder="0" applyAlignment="0"/>
    <xf numFmtId="188" fontId="7" fillId="0" borderId="0" applyFill="0" applyBorder="0" applyAlignment="0"/>
    <xf numFmtId="192" fontId="7" fillId="0" borderId="0" applyFill="0" applyBorder="0" applyAlignment="0"/>
    <xf numFmtId="193" fontId="7" fillId="0" borderId="0" applyFill="0" applyBorder="0" applyAlignment="0"/>
    <xf numFmtId="188" fontId="7" fillId="0" borderId="0" applyFill="0" applyBorder="0" applyAlignment="0"/>
    <xf numFmtId="172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204" fontId="19" fillId="0" borderId="0" applyFont="0" applyFill="0" applyBorder="0" applyAlignment="0" applyProtection="0"/>
    <xf numFmtId="0" fontId="72" fillId="0" borderId="1"/>
    <xf numFmtId="42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171" fontId="7" fillId="0" borderId="0" applyFont="0" applyFill="0" applyBorder="0" applyAlignment="0" applyProtection="0"/>
    <xf numFmtId="205" fontId="19" fillId="0" borderId="0" applyFont="0" applyFill="0" applyBorder="0" applyAlignment="0" applyProtection="0"/>
    <xf numFmtId="0" fontId="7" fillId="0" borderId="0"/>
    <xf numFmtId="37" fontId="73" fillId="0" borderId="0"/>
    <xf numFmtId="206" fontId="74" fillId="0" borderId="0"/>
    <xf numFmtId="0" fontId="40" fillId="0" borderId="0" applyNumberFormat="0" applyBorder="0" applyAlignment="0"/>
    <xf numFmtId="0" fontId="3" fillId="0" borderId="0">
      <alignment vertical="center"/>
    </xf>
    <xf numFmtId="0" fontId="16" fillId="0" borderId="0"/>
    <xf numFmtId="40" fontId="43" fillId="29" borderId="0">
      <alignment horizontal="right"/>
    </xf>
    <xf numFmtId="0" fontId="75" fillId="29" borderId="9"/>
    <xf numFmtId="14" fontId="59" fillId="0" borderId="0">
      <alignment horizontal="center" wrapText="1"/>
      <protection locked="0"/>
    </xf>
    <xf numFmtId="9" fontId="3" fillId="0" borderId="0" applyFont="0" applyFill="0" applyBorder="0" applyAlignment="0" applyProtection="0">
      <alignment vertical="center"/>
    </xf>
    <xf numFmtId="207" fontId="7" fillId="0" borderId="0" applyFont="0" applyFill="0" applyBorder="0" applyAlignment="0" applyProtection="0"/>
    <xf numFmtId="191" fontId="7" fillId="0" borderId="0" applyFont="0" applyFill="0" applyBorder="0" applyAlignment="0" applyProtection="0"/>
    <xf numFmtId="208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0" fontId="27" fillId="2" borderId="8"/>
    <xf numFmtId="192" fontId="7" fillId="0" borderId="0" applyFill="0" applyBorder="0" applyAlignment="0"/>
    <xf numFmtId="188" fontId="7" fillId="0" borderId="0" applyFill="0" applyBorder="0" applyAlignment="0"/>
    <xf numFmtId="192" fontId="7" fillId="0" borderId="0" applyFill="0" applyBorder="0" applyAlignment="0"/>
    <xf numFmtId="193" fontId="7" fillId="0" borderId="0" applyFill="0" applyBorder="0" applyAlignment="0"/>
    <xf numFmtId="188" fontId="7" fillId="0" borderId="0" applyFill="0" applyBorder="0" applyAlignment="0"/>
    <xf numFmtId="4" fontId="67" fillId="0" borderId="0">
      <alignment horizontal="right"/>
    </xf>
    <xf numFmtId="209" fontId="20" fillId="0" borderId="0" applyFont="0" applyFill="0" applyBorder="0" applyAlignment="0" applyProtection="0"/>
    <xf numFmtId="0" fontId="76" fillId="0" borderId="0" applyNumberFormat="0" applyFont="0" applyFill="0" applyBorder="0" applyAlignment="0" applyProtection="0">
      <alignment horizontal="left"/>
    </xf>
    <xf numFmtId="0" fontId="77" fillId="0" borderId="1">
      <alignment horizontal="center"/>
    </xf>
    <xf numFmtId="0" fontId="39" fillId="30" borderId="0" applyNumberFormat="0" applyFont="0" applyBorder="0" applyAlignment="0">
      <alignment horizontal="center"/>
    </xf>
    <xf numFmtId="4" fontId="78" fillId="0" borderId="0">
      <alignment horizontal="right"/>
    </xf>
    <xf numFmtId="14" fontId="79" fillId="0" borderId="0" applyNumberFormat="0" applyFill="0" applyBorder="0" applyAlignment="0" applyProtection="0">
      <alignment horizontal="left"/>
    </xf>
    <xf numFmtId="0" fontId="80" fillId="0" borderId="0">
      <alignment horizontal="left"/>
    </xf>
    <xf numFmtId="0" fontId="39" fillId="1" borderId="6" applyNumberFormat="0" applyFont="0" applyAlignment="0">
      <alignment horizontal="center"/>
    </xf>
    <xf numFmtId="169" fontId="27" fillId="0" borderId="19"/>
    <xf numFmtId="0" fontId="81" fillId="0" borderId="0" applyNumberFormat="0" applyFill="0" applyBorder="0" applyAlignment="0">
      <alignment horizontal="center"/>
    </xf>
    <xf numFmtId="195" fontId="7" fillId="0" borderId="0">
      <alignment textRotation="255"/>
    </xf>
    <xf numFmtId="0" fontId="82" fillId="0" borderId="8">
      <alignment horizontal="center"/>
    </xf>
    <xf numFmtId="0" fontId="7" fillId="0" borderId="0"/>
    <xf numFmtId="0" fontId="7" fillId="0" borderId="0"/>
    <xf numFmtId="0" fontId="82" fillId="0" borderId="0">
      <alignment horizontal="center" vertical="center"/>
    </xf>
    <xf numFmtId="0" fontId="83" fillId="3" borderId="0" applyNumberFormat="0" applyFill="0">
      <alignment horizontal="left" vertical="center"/>
    </xf>
    <xf numFmtId="0" fontId="72" fillId="0" borderId="0"/>
    <xf numFmtId="40" fontId="84" fillId="0" borderId="0" applyBorder="0">
      <alignment horizontal="right"/>
    </xf>
    <xf numFmtId="0" fontId="7" fillId="0" borderId="0"/>
    <xf numFmtId="49" fontId="10" fillId="0" borderId="0" applyFill="0" applyBorder="0" applyAlignment="0"/>
    <xf numFmtId="210" fontId="10" fillId="0" borderId="0" applyFill="0" applyBorder="0" applyAlignment="0"/>
    <xf numFmtId="211" fontId="7" fillId="0" borderId="0" applyFill="0" applyBorder="0" applyAlignment="0"/>
    <xf numFmtId="0" fontId="14" fillId="0" borderId="0" applyFill="0" applyBorder="0" applyProtection="0">
      <alignment horizontal="left" vertical="top"/>
    </xf>
    <xf numFmtId="212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0" fontId="85" fillId="0" borderId="0"/>
    <xf numFmtId="214" fontId="20" fillId="0" borderId="0" applyFont="0" applyFill="0" applyBorder="0" applyAlignment="0" applyProtection="0"/>
    <xf numFmtId="42" fontId="7" fillId="0" borderId="0" applyFont="0" applyFill="0" applyBorder="0" applyAlignment="0" applyProtection="0"/>
    <xf numFmtId="215" fontId="20" fillId="0" borderId="0" applyFont="0" applyFill="0" applyBorder="0" applyAlignment="0" applyProtection="0"/>
    <xf numFmtId="216" fontId="20" fillId="0" borderId="0" applyFont="0" applyFill="0" applyBorder="0" applyAlignment="0" applyProtection="0"/>
    <xf numFmtId="217" fontId="20" fillId="0" borderId="0" applyFont="0" applyFill="0" applyBorder="0" applyAlignment="0" applyProtection="0"/>
    <xf numFmtId="0" fontId="52" fillId="0" borderId="0" applyNumberFormat="0" applyFont="0" applyFill="0" applyBorder="0" applyProtection="0">
      <alignment horizontal="center" vertical="center" wrapText="1"/>
    </xf>
    <xf numFmtId="9" fontId="86" fillId="0" borderId="0" applyFont="0" applyFill="0" applyBorder="0" applyAlignment="0" applyProtection="0"/>
    <xf numFmtId="0" fontId="20" fillId="0" borderId="0"/>
    <xf numFmtId="0" fontId="7" fillId="0" borderId="0"/>
    <xf numFmtId="174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72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7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40" fillId="0" borderId="0"/>
    <xf numFmtId="0" fontId="7" fillId="0" borderId="0"/>
    <xf numFmtId="169" fontId="40" fillId="0" borderId="0" applyFont="0" applyFill="0" applyBorder="0" applyAlignment="0" applyProtection="0"/>
    <xf numFmtId="169" fontId="40" fillId="0" borderId="0" applyFont="0" applyFill="0" applyBorder="0" applyAlignment="0" applyProtection="0"/>
    <xf numFmtId="165" fontId="3" fillId="0" borderId="0" applyFont="0" applyFill="0" applyBorder="0" applyAlignment="0" applyProtection="0">
      <alignment vertical="center"/>
    </xf>
    <xf numFmtId="172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89" fillId="0" borderId="0"/>
    <xf numFmtId="0" fontId="90" fillId="0" borderId="0" applyNumberFormat="0" applyFill="0" applyBorder="0" applyAlignment="0" applyProtection="0">
      <alignment vertical="top"/>
      <protection locked="0"/>
    </xf>
    <xf numFmtId="0" fontId="98" fillId="6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65" fillId="0" borderId="0"/>
    <xf numFmtId="0" fontId="40" fillId="28" borderId="17" applyNumberFormat="0" applyFont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4" fontId="52" fillId="0" borderId="0" applyFont="0" applyFill="0" applyBorder="0" applyAlignment="0" applyProtection="0"/>
    <xf numFmtId="172" fontId="7" fillId="0" borderId="0" applyFont="0" applyFill="0" applyBorder="0" applyAlignment="0" applyProtection="0"/>
    <xf numFmtId="173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100" fillId="27" borderId="0" applyNumberFormat="0" applyBorder="0" applyAlignment="0" applyProtection="0">
      <alignment vertical="center"/>
    </xf>
    <xf numFmtId="0" fontId="19" fillId="0" borderId="0">
      <alignment vertical="center"/>
    </xf>
    <xf numFmtId="218" fontId="20" fillId="0" borderId="0" applyFont="0" applyFill="0" applyBorder="0" applyAlignment="0" applyProtection="0"/>
    <xf numFmtId="204" fontId="20" fillId="0" borderId="0" applyFont="0" applyFill="0" applyBorder="0" applyAlignment="0" applyProtection="0"/>
    <xf numFmtId="44" fontId="7" fillId="0" borderId="0" applyFont="0" applyFill="0" applyBorder="0" applyAlignment="0" applyProtection="0"/>
    <xf numFmtId="219" fontId="52" fillId="0" borderId="0" applyFont="0" applyFill="0" applyBorder="0" applyAlignment="0" applyProtection="0"/>
    <xf numFmtId="0" fontId="97" fillId="18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21" fillId="0" borderId="0"/>
    <xf numFmtId="0" fontId="71" fillId="0" borderId="0" applyNumberFormat="0" applyFill="0" applyBorder="0" applyAlignment="0" applyProtection="0">
      <alignment vertical="top"/>
      <protection locked="0"/>
    </xf>
    <xf numFmtId="0" fontId="91" fillId="0" borderId="0" applyNumberFormat="0" applyFill="0" applyBorder="0" applyAlignment="0" applyProtection="0">
      <alignment vertical="top"/>
      <protection locked="0"/>
    </xf>
    <xf numFmtId="0" fontId="92" fillId="0" borderId="0" applyFont="0" applyFill="0" applyBorder="0" applyAlignment="0" applyProtection="0"/>
    <xf numFmtId="172" fontId="7" fillId="0" borderId="0" applyFon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10" fillId="9" borderId="11" applyNumberFormat="0" applyAlignment="0" applyProtection="0">
      <alignment vertical="center"/>
    </xf>
    <xf numFmtId="0" fontId="111" fillId="22" borderId="18" applyNumberFormat="0" applyAlignment="0" applyProtection="0">
      <alignment vertical="center"/>
    </xf>
    <xf numFmtId="0" fontId="93" fillId="0" borderId="0"/>
    <xf numFmtId="0" fontId="68" fillId="0" borderId="0" applyNumberFormat="0" applyFill="0" applyBorder="0" applyAlignment="0" applyProtection="0">
      <alignment vertical="top"/>
      <protection locked="0"/>
    </xf>
    <xf numFmtId="220" fontId="20" fillId="0" borderId="0" applyFont="0" applyFill="0" applyBorder="0" applyAlignment="0" applyProtection="0"/>
    <xf numFmtId="221" fontId="19" fillId="0" borderId="0" applyFont="0" applyFill="0" applyBorder="0" applyAlignment="0" applyProtection="0"/>
    <xf numFmtId="0" fontId="102" fillId="0" borderId="0" applyNumberFormat="0" applyFill="0" applyBorder="0" applyAlignment="0" applyProtection="0">
      <alignment vertical="center"/>
    </xf>
    <xf numFmtId="172" fontId="87" fillId="0" borderId="0" applyFont="0" applyFill="0" applyBorder="0" applyAlignment="0" applyProtection="0"/>
    <xf numFmtId="169" fontId="87" fillId="0" borderId="0" applyFont="0" applyFill="0" applyBorder="0" applyAlignment="0" applyProtection="0"/>
    <xf numFmtId="222" fontId="87" fillId="0" borderId="0" applyFont="0" applyFill="0" applyBorder="0" applyAlignment="0" applyProtection="0"/>
    <xf numFmtId="223" fontId="87" fillId="0" borderId="0" applyFont="0" applyFill="0" applyBorder="0" applyAlignment="0" applyProtection="0"/>
    <xf numFmtId="0" fontId="88" fillId="0" borderId="0"/>
    <xf numFmtId="224" fontId="94" fillId="0" borderId="0" applyFont="0" applyFill="0" applyBorder="0" applyAlignment="0" applyProtection="0"/>
    <xf numFmtId="225" fontId="94" fillId="0" borderId="0" applyFont="0" applyFill="0" applyBorder="0" applyAlignment="0" applyProtection="0"/>
    <xf numFmtId="0" fontId="103" fillId="0" borderId="0" applyNumberFormat="0" applyFill="0" applyBorder="0" applyAlignment="0" applyProtection="0">
      <alignment vertical="center"/>
    </xf>
    <xf numFmtId="0" fontId="104" fillId="0" borderId="13" applyNumberFormat="0" applyFill="0" applyAlignment="0" applyProtection="0">
      <alignment vertical="center"/>
    </xf>
    <xf numFmtId="0" fontId="105" fillId="0" borderId="14" applyNumberFormat="0" applyFill="0" applyAlignment="0" applyProtection="0">
      <alignment vertical="center"/>
    </xf>
    <xf numFmtId="0" fontId="106" fillId="0" borderId="15" applyNumberFormat="0" applyFill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7" fillId="23" borderId="12" applyNumberFormat="0" applyAlignment="0" applyProtection="0">
      <alignment vertical="center"/>
    </xf>
    <xf numFmtId="0" fontId="108" fillId="0" borderId="20" applyNumberFormat="0" applyFill="0" applyAlignment="0" applyProtection="0">
      <alignment vertical="center"/>
    </xf>
    <xf numFmtId="0" fontId="109" fillId="22" borderId="11" applyNumberFormat="0" applyAlignment="0" applyProtection="0">
      <alignment vertical="center"/>
    </xf>
    <xf numFmtId="165" fontId="7" fillId="0" borderId="8" applyNumberFormat="0"/>
    <xf numFmtId="0" fontId="95" fillId="0" borderId="0"/>
    <xf numFmtId="0" fontId="112" fillId="0" borderId="16" applyNumberFormat="0" applyFill="0" applyAlignment="0" applyProtection="0">
      <alignment vertical="center"/>
    </xf>
    <xf numFmtId="0" fontId="7" fillId="0" borderId="0"/>
    <xf numFmtId="165" fontId="7" fillId="0" borderId="0" applyFont="0" applyFill="0" applyBorder="0" applyAlignment="0" applyProtection="0">
      <alignment vertical="center"/>
    </xf>
    <xf numFmtId="0" fontId="20" fillId="0" borderId="0"/>
    <xf numFmtId="43" fontId="7" fillId="0" borderId="0" applyFont="0" applyFill="0" applyBorder="0" applyAlignment="0" applyProtection="0"/>
    <xf numFmtId="0" fontId="7" fillId="0" borderId="0"/>
    <xf numFmtId="165" fontId="5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7" fillId="0" borderId="0" applyFont="0" applyFill="0" applyBorder="0" applyAlignment="0" applyProtection="0"/>
    <xf numFmtId="0" fontId="7" fillId="0" borderId="0"/>
    <xf numFmtId="169" fontId="20" fillId="0" borderId="0" applyNumberFormat="0" applyFill="0" applyProtection="0">
      <alignment vertical="center"/>
    </xf>
    <xf numFmtId="169" fontId="3" fillId="0" borderId="0" applyFont="0" applyFill="0" applyBorder="0" applyAlignment="0" applyProtection="0">
      <alignment vertical="center"/>
    </xf>
    <xf numFmtId="169" fontId="3" fillId="0" borderId="0" applyFont="0" applyFill="0" applyBorder="0" applyAlignment="0" applyProtection="0">
      <alignment vertical="center"/>
    </xf>
    <xf numFmtId="169" fontId="3" fillId="0" borderId="0" applyFont="0" applyFill="0" applyBorder="0" applyAlignment="0" applyProtection="0"/>
    <xf numFmtId="169" fontId="27" fillId="0" borderId="19"/>
    <xf numFmtId="169" fontId="40" fillId="0" borderId="0" applyFont="0" applyFill="0" applyBorder="0" applyAlignment="0" applyProtection="0"/>
    <xf numFmtId="169" fontId="40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0" fontId="96" fillId="4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9" borderId="0" applyNumberFormat="0" applyBorder="0" applyAlignment="0" applyProtection="0">
      <alignment vertical="center"/>
    </xf>
    <xf numFmtId="0" fontId="96" fillId="10" borderId="0" applyNumberFormat="0" applyBorder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10" borderId="0" applyNumberFormat="0" applyBorder="0" applyAlignment="0" applyProtection="0">
      <alignment vertical="center"/>
    </xf>
    <xf numFmtId="0" fontId="96" fillId="13" borderId="0" applyNumberFormat="0" applyBorder="0" applyAlignment="0" applyProtection="0">
      <alignment vertical="center"/>
    </xf>
    <xf numFmtId="0" fontId="97" fillId="14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7" borderId="0" applyNumberFormat="0" applyBorder="0" applyAlignment="0" applyProtection="0">
      <alignment vertical="center"/>
    </xf>
    <xf numFmtId="0" fontId="40" fillId="0" borderId="0" applyNumberFormat="0" applyBorder="0" applyAlignment="0"/>
    <xf numFmtId="169" fontId="27" fillId="0" borderId="19"/>
    <xf numFmtId="0" fontId="40" fillId="0" borderId="0"/>
    <xf numFmtId="0" fontId="40" fillId="0" borderId="0"/>
    <xf numFmtId="169" fontId="40" fillId="0" borderId="0" applyFont="0" applyFill="0" applyBorder="0" applyAlignment="0" applyProtection="0"/>
    <xf numFmtId="169" fontId="40" fillId="0" borderId="0" applyFont="0" applyFill="0" applyBorder="0" applyAlignment="0" applyProtection="0"/>
    <xf numFmtId="0" fontId="98" fillId="6" borderId="0" applyNumberFormat="0" applyBorder="0" applyAlignment="0" applyProtection="0">
      <alignment vertical="center"/>
    </xf>
    <xf numFmtId="0" fontId="40" fillId="28" borderId="17" applyNumberFormat="0" applyFont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97" fillId="18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10" fillId="9" borderId="11" applyNumberFormat="0" applyAlignment="0" applyProtection="0">
      <alignment vertical="center"/>
    </xf>
    <xf numFmtId="0" fontId="111" fillId="22" borderId="18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4" fillId="0" borderId="13" applyNumberFormat="0" applyFill="0" applyAlignment="0" applyProtection="0">
      <alignment vertical="center"/>
    </xf>
    <xf numFmtId="0" fontId="105" fillId="0" borderId="14" applyNumberFormat="0" applyFill="0" applyAlignment="0" applyProtection="0">
      <alignment vertical="center"/>
    </xf>
    <xf numFmtId="0" fontId="106" fillId="0" borderId="15" applyNumberFormat="0" applyFill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7" fillId="23" borderId="12" applyNumberFormat="0" applyAlignment="0" applyProtection="0">
      <alignment vertical="center"/>
    </xf>
    <xf numFmtId="0" fontId="108" fillId="0" borderId="20" applyNumberFormat="0" applyFill="0" applyAlignment="0" applyProtection="0">
      <alignment vertical="center"/>
    </xf>
    <xf numFmtId="0" fontId="109" fillId="22" borderId="11" applyNumberFormat="0" applyAlignment="0" applyProtection="0">
      <alignment vertical="center"/>
    </xf>
    <xf numFmtId="0" fontId="112" fillId="0" borderId="16" applyNumberFormat="0" applyFill="0" applyAlignment="0" applyProtection="0">
      <alignment vertical="center"/>
    </xf>
    <xf numFmtId="0" fontId="2" fillId="0" borderId="0">
      <alignment vertical="center"/>
    </xf>
    <xf numFmtId="43" fontId="20" fillId="0" borderId="0" applyNumberFormat="0" applyFill="0" applyProtection="0">
      <alignment vertical="center"/>
    </xf>
    <xf numFmtId="0" fontId="96" fillId="4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9" borderId="0" applyNumberFormat="0" applyBorder="0" applyAlignment="0" applyProtection="0">
      <alignment vertical="center"/>
    </xf>
    <xf numFmtId="0" fontId="96" fillId="10" borderId="0" applyNumberFormat="0" applyBorder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10" borderId="0" applyNumberFormat="0" applyBorder="0" applyAlignment="0" applyProtection="0">
      <alignment vertical="center"/>
    </xf>
    <xf numFmtId="0" fontId="96" fillId="13" borderId="0" applyNumberFormat="0" applyBorder="0" applyAlignment="0" applyProtection="0">
      <alignment vertical="center"/>
    </xf>
    <xf numFmtId="0" fontId="97" fillId="14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7" borderId="0" applyNumberFormat="0" applyBorder="0" applyAlignment="0" applyProtection="0">
      <alignment vertical="center"/>
    </xf>
    <xf numFmtId="0" fontId="40" fillId="0" borderId="0" applyNumberFormat="0" applyBorder="0" applyAlignment="0"/>
    <xf numFmtId="0" fontId="40" fillId="0" borderId="0"/>
    <xf numFmtId="0" fontId="40" fillId="0" borderId="0"/>
    <xf numFmtId="169" fontId="40" fillId="0" borderId="0" applyFont="0" applyFill="0" applyBorder="0" applyAlignment="0" applyProtection="0"/>
    <xf numFmtId="169" fontId="40" fillId="0" borderId="0" applyFont="0" applyFill="0" applyBorder="0" applyAlignment="0" applyProtection="0"/>
    <xf numFmtId="0" fontId="98" fillId="6" borderId="0" applyNumberFormat="0" applyBorder="0" applyAlignment="0" applyProtection="0">
      <alignment vertical="center"/>
    </xf>
    <xf numFmtId="0" fontId="40" fillId="28" borderId="17" applyNumberFormat="0" applyFont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97" fillId="18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10" fillId="9" borderId="11" applyNumberFormat="0" applyAlignment="0" applyProtection="0">
      <alignment vertical="center"/>
    </xf>
    <xf numFmtId="0" fontId="111" fillId="22" borderId="18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4" fillId="0" borderId="13" applyNumberFormat="0" applyFill="0" applyAlignment="0" applyProtection="0">
      <alignment vertical="center"/>
    </xf>
    <xf numFmtId="0" fontId="105" fillId="0" borderId="14" applyNumberFormat="0" applyFill="0" applyAlignment="0" applyProtection="0">
      <alignment vertical="center"/>
    </xf>
    <xf numFmtId="0" fontId="106" fillId="0" borderId="15" applyNumberFormat="0" applyFill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7" fillId="23" borderId="12" applyNumberFormat="0" applyAlignment="0" applyProtection="0">
      <alignment vertical="center"/>
    </xf>
    <xf numFmtId="0" fontId="108" fillId="0" borderId="20" applyNumberFormat="0" applyFill="0" applyAlignment="0" applyProtection="0">
      <alignment vertical="center"/>
    </xf>
    <xf numFmtId="0" fontId="109" fillId="22" borderId="11" applyNumberFormat="0" applyAlignment="0" applyProtection="0">
      <alignment vertical="center"/>
    </xf>
    <xf numFmtId="0" fontId="112" fillId="0" borderId="16" applyNumberFormat="0" applyFill="0" applyAlignment="0" applyProtection="0">
      <alignment vertical="center"/>
    </xf>
    <xf numFmtId="0" fontId="7" fillId="0" borderId="0"/>
    <xf numFmtId="43" fontId="113" fillId="0" borderId="0" applyFont="0" applyFill="0" applyBorder="0" applyAlignment="0" applyProtection="0">
      <alignment vertical="center"/>
    </xf>
    <xf numFmtId="0" fontId="11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</cellStyleXfs>
  <cellXfs count="39">
    <xf numFmtId="0" fontId="0" fillId="0" borderId="0" xfId="0"/>
    <xf numFmtId="43" fontId="20" fillId="0" borderId="0" xfId="136" applyFont="1" applyFill="1" applyBorder="1" applyAlignment="1">
      <alignment horizontal="right" vertical="center"/>
    </xf>
    <xf numFmtId="43" fontId="41" fillId="0" borderId="0" xfId="136" applyFont="1" applyFill="1" applyBorder="1" applyAlignment="1">
      <alignment horizontal="right" vertical="center"/>
    </xf>
    <xf numFmtId="0" fontId="41" fillId="0" borderId="0" xfId="136" applyNumberFormat="1" applyFont="1" applyFill="1" applyBorder="1" applyAlignment="1">
      <alignment horizontal="right" vertical="center"/>
    </xf>
    <xf numFmtId="43" fontId="41" fillId="0" borderId="0" xfId="136" applyFont="1" applyFill="1" applyBorder="1" applyAlignment="1">
      <alignment horizontal="center" vertical="center" wrapText="1"/>
    </xf>
    <xf numFmtId="43" fontId="41" fillId="0" borderId="0" xfId="136" applyFont="1" applyFill="1" applyBorder="1" applyAlignment="1">
      <alignment horizontal="center" vertical="center"/>
    </xf>
    <xf numFmtId="43" fontId="41" fillId="0" borderId="2" xfId="136" applyFont="1" applyFill="1" applyBorder="1" applyAlignment="1">
      <alignment horizontal="center" vertical="center"/>
    </xf>
    <xf numFmtId="0" fontId="41" fillId="0" borderId="0" xfId="136" applyNumberFormat="1" applyFont="1" applyFill="1" applyBorder="1" applyAlignment="1">
      <alignment horizontal="center" vertical="center"/>
    </xf>
    <xf numFmtId="43" fontId="20" fillId="0" borderId="0" xfId="136" applyFont="1" applyFill="1" applyBorder="1" applyAlignment="1">
      <alignment horizontal="center" vertical="center"/>
    </xf>
    <xf numFmtId="43" fontId="20" fillId="0" borderId="23" xfId="136" applyFont="1" applyFill="1" applyBorder="1" applyAlignment="1">
      <alignment horizontal="center" vertical="center"/>
    </xf>
    <xf numFmtId="43" fontId="41" fillId="0" borderId="23" xfId="136" applyFont="1" applyFill="1" applyBorder="1" applyAlignment="1">
      <alignment horizontal="center" vertical="center"/>
    </xf>
    <xf numFmtId="0" fontId="17" fillId="0" borderId="0" xfId="878" applyFont="1" applyAlignment="1">
      <alignment vertical="center" wrapText="1"/>
    </xf>
    <xf numFmtId="43" fontId="41" fillId="0" borderId="4" xfId="136" applyFont="1" applyFill="1" applyBorder="1" applyAlignment="1">
      <alignment horizontal="center" vertical="center"/>
    </xf>
    <xf numFmtId="0" fontId="20" fillId="0" borderId="0" xfId="13" applyFont="1" applyAlignment="1">
      <alignment horizontal="left"/>
    </xf>
    <xf numFmtId="43" fontId="44" fillId="0" borderId="0" xfId="0" applyNumberFormat="1" applyFont="1"/>
    <xf numFmtId="0" fontId="18" fillId="0" borderId="0" xfId="878" applyFont="1">
      <alignment vertical="center"/>
    </xf>
    <xf numFmtId="0" fontId="45" fillId="0" borderId="0" xfId="135" applyFont="1" applyAlignment="1">
      <alignment horizontal="left" vertical="center"/>
    </xf>
    <xf numFmtId="49" fontId="45" fillId="0" borderId="0" xfId="135" applyNumberFormat="1" applyFont="1" applyAlignment="1">
      <alignment horizontal="center" vertical="center"/>
    </xf>
    <xf numFmtId="49" fontId="46" fillId="0" borderId="0" xfId="135" applyNumberFormat="1" applyFont="1" applyAlignment="1">
      <alignment horizontal="left" vertical="center"/>
    </xf>
    <xf numFmtId="15" fontId="45" fillId="0" borderId="0" xfId="135" applyNumberFormat="1" applyFont="1" applyAlignment="1">
      <alignment horizontal="left" vertical="center"/>
    </xf>
    <xf numFmtId="49" fontId="45" fillId="0" borderId="0" xfId="135" applyNumberFormat="1" applyFont="1" applyAlignment="1">
      <alignment horizontal="left" vertical="center"/>
    </xf>
    <xf numFmtId="0" fontId="41" fillId="0" borderId="0" xfId="135" applyFont="1" applyAlignment="1">
      <alignment horizontal="right" vertical="center"/>
    </xf>
    <xf numFmtId="0" fontId="17" fillId="0" borderId="0" xfId="878" applyFont="1">
      <alignment vertical="center"/>
    </xf>
    <xf numFmtId="49" fontId="41" fillId="0" borderId="0" xfId="135" applyNumberFormat="1" applyFont="1" applyAlignment="1">
      <alignment horizontal="right" vertical="center"/>
    </xf>
    <xf numFmtId="0" fontId="41" fillId="0" borderId="0" xfId="1" applyFont="1">
      <alignment vertical="center"/>
    </xf>
    <xf numFmtId="43" fontId="20" fillId="0" borderId="21" xfId="136" applyFont="1" applyFill="1" applyBorder="1" applyAlignment="1">
      <alignment horizontal="center" vertical="center"/>
    </xf>
    <xf numFmtId="0" fontId="41" fillId="0" borderId="0" xfId="13" quotePrefix="1" applyFont="1" applyAlignment="1">
      <alignment horizontal="left"/>
    </xf>
    <xf numFmtId="43" fontId="41" fillId="0" borderId="23" xfId="136" applyFont="1" applyFill="1" applyBorder="1" applyAlignment="1">
      <alignment vertical="center"/>
    </xf>
    <xf numFmtId="43" fontId="41" fillId="0" borderId="22" xfId="136" applyFont="1" applyFill="1" applyBorder="1" applyAlignment="1">
      <alignment horizontal="center" vertical="center"/>
    </xf>
    <xf numFmtId="0" fontId="20" fillId="0" borderId="0" xfId="13" applyFont="1"/>
    <xf numFmtId="0" fontId="41" fillId="0" borderId="0" xfId="27" applyFont="1" applyAlignment="1">
      <alignment horizontal="center"/>
    </xf>
    <xf numFmtId="43" fontId="47" fillId="0" borderId="0" xfId="27" applyNumberFormat="1" applyFont="1" applyAlignment="1">
      <alignment horizontal="center" wrapText="1"/>
    </xf>
    <xf numFmtId="0" fontId="44" fillId="0" borderId="0" xfId="0" applyFont="1"/>
    <xf numFmtId="43" fontId="41" fillId="0" borderId="10" xfId="136" applyFont="1" applyFill="1" applyBorder="1" applyAlignment="1">
      <alignment horizontal="center" vertical="center"/>
    </xf>
    <xf numFmtId="43" fontId="41" fillId="0" borderId="3" xfId="136" applyFont="1" applyFill="1" applyBorder="1" applyAlignment="1">
      <alignment horizontal="right" vertical="center"/>
    </xf>
    <xf numFmtId="0" fontId="41" fillId="0" borderId="0" xfId="13" applyFont="1" applyAlignment="1">
      <alignment horizontal="left"/>
    </xf>
    <xf numFmtId="49" fontId="45" fillId="0" borderId="0" xfId="135" applyNumberFormat="1" applyFont="1" applyAlignment="1">
      <alignment horizontal="center"/>
    </xf>
    <xf numFmtId="0" fontId="20" fillId="0" borderId="0" xfId="1" applyFont="1">
      <alignment vertical="center"/>
    </xf>
    <xf numFmtId="0" fontId="20" fillId="0" borderId="0" xfId="13" quotePrefix="1" applyFont="1" applyAlignment="1">
      <alignment horizontal="left"/>
    </xf>
  </cellXfs>
  <cellStyles count="881">
    <cellStyle name="###，##0" xfId="387" xr:uid="{00000000-0005-0000-0000-000000000000}"/>
    <cellStyle name="#，##0" xfId="384" xr:uid="{00000000-0005-0000-0000-000001000000}"/>
    <cellStyle name="%" xfId="141" xr:uid="{00000000-0005-0000-0000-000002000000}"/>
    <cellStyle name="??" xfId="385" xr:uid="{00000000-0005-0000-0000-000003000000}"/>
    <cellStyle name="?? [0]" xfId="389" xr:uid="{00000000-0005-0000-0000-000004000000}"/>
    <cellStyle name="???_x000d_" xfId="388" xr:uid="{00000000-0005-0000-0000-000005000000}"/>
    <cellStyle name="??????" xfId="386" xr:uid="{00000000-0005-0000-0000-000006000000}"/>
    <cellStyle name="??_0N-HANDLING " xfId="390" xr:uid="{00000000-0005-0000-0000-000007000000}"/>
    <cellStyle name="?鹎%U龡&amp;H齲_x0001__x0016_?_x0005__x0007__x0001__x0001_" xfId="263" xr:uid="{00000000-0005-0000-0000-000008000000}"/>
    <cellStyle name="?鹎%U龡&amp;H齲_x0001__x0016_?_x0005__x0007__x0001__x0001_ 2" xfId="374" xr:uid="{00000000-0005-0000-0000-000009000000}"/>
    <cellStyle name="?鹎%U龡&amp;H齲_x0001__x0016_?_x0005__x0007__x0001__x0001_ 2 2" xfId="766" xr:uid="{00000000-0005-0000-0000-00000A000000}"/>
    <cellStyle name="?鹎%U龡&amp;H齲_x005f_x0001__x005f_x0016_?_x005f_x0005__x005f_x0007__x005f_x0001__x005f_x0001_" xfId="824" xr:uid="{00000000-0005-0000-0000-00000B000000}"/>
    <cellStyle name="@_text" xfId="391" xr:uid="{00000000-0005-0000-0000-00000C000000}"/>
    <cellStyle name="_02-审计过录表(科研所）" xfId="392" xr:uid="{00000000-0005-0000-0000-00000D000000}"/>
    <cellStyle name="_04-05年制造费用" xfId="393" xr:uid="{00000000-0005-0000-0000-00000E000000}"/>
    <cellStyle name="_05底稿" xfId="394" xr:uid="{00000000-0005-0000-0000-00000F000000}"/>
    <cellStyle name="_06年9月--酒店+机关" xfId="395" xr:uid="{00000000-0005-0000-0000-000010000000}"/>
    <cellStyle name="_06预审张掖底稿(刘)" xfId="396" xr:uid="{00000000-0005-0000-0000-000011000000}"/>
    <cellStyle name="_12月22日按石油行业分类对比表" xfId="397" xr:uid="{00000000-0005-0000-0000-000012000000}"/>
    <cellStyle name="_2005-3铝厂底稿" xfId="398" xr:uid="{00000000-0005-0000-0000-000013000000}"/>
    <cellStyle name="_2006年度决算财务管理报表(合并酒店)" xfId="399" xr:uid="{00000000-0005-0000-0000-000014000000}"/>
    <cellStyle name="_2006年预审明细表" xfId="400" xr:uid="{00000000-0005-0000-0000-000015000000}"/>
    <cellStyle name="_2-常德底稿" xfId="401" xr:uid="{00000000-0005-0000-0000-000016000000}"/>
    <cellStyle name="_3-审计过录表2005(合并表）3.20" xfId="402" xr:uid="{00000000-0005-0000-0000-000017000000}"/>
    <cellStyle name="_3-审计过录表2006(合并表）" xfId="403" xr:uid="{00000000-0005-0000-0000-000018000000}"/>
    <cellStyle name="_5-设科所-审计过录表" xfId="404" xr:uid="{00000000-0005-0000-0000-000019000000}"/>
    <cellStyle name="_Bank Loan" xfId="405" xr:uid="{00000000-0005-0000-0000-00001A000000}"/>
    <cellStyle name="_Book2" xfId="406" xr:uid="{00000000-0005-0000-0000-00001B000000}"/>
    <cellStyle name="_Cash and cash equivalents Simon" xfId="407" xr:uid="{00000000-0005-0000-0000-00001C000000}"/>
    <cellStyle name="_ETB" xfId="408" xr:uid="{00000000-0005-0000-0000-00001D000000}"/>
    <cellStyle name="_Extended TB updated FS simon 1862007" xfId="409" xr:uid="{00000000-0005-0000-0000-00001E000000}"/>
    <cellStyle name="_FA+Intan昆山" xfId="410" xr:uid="{00000000-0005-0000-0000-00001F000000}"/>
    <cellStyle name="_FAR-YC" xfId="411" xr:uid="{00000000-0005-0000-0000-000020000000}"/>
    <cellStyle name="_FAR-宜春市供水" xfId="412" xr:uid="{00000000-0005-0000-0000-000021000000}"/>
    <cellStyle name="_FA彩珠" xfId="413" xr:uid="{00000000-0005-0000-0000-000022000000}"/>
    <cellStyle name="_Fixed assets 03-05" xfId="414" xr:uid="{00000000-0005-0000-0000-000023000000}"/>
    <cellStyle name="_Fixed assets1111" xfId="415" xr:uid="{00000000-0005-0000-0000-000024000000}"/>
    <cellStyle name="_flna外运底稿" xfId="416" xr:uid="{00000000-0005-0000-0000-000025000000}"/>
    <cellStyle name="_Holding wpf (020707)" xfId="417" xr:uid="{00000000-0005-0000-0000-000026000000}"/>
    <cellStyle name="_Holding wpf (290607)" xfId="418" xr:uid="{00000000-0005-0000-0000-000027000000}"/>
    <cellStyle name="_Holding wpf 0405 Johnson" xfId="419" xr:uid="{00000000-0005-0000-0000-000028000000}"/>
    <cellStyle name="_Holding wpf 07 Johnson" xfId="420" xr:uid="{00000000-0005-0000-0000-000029000000}"/>
    <cellStyle name="_Intragroup balances" xfId="421" xr:uid="{00000000-0005-0000-0000-00002A000000}"/>
    <cellStyle name="_Inventories" xfId="422" xr:uid="{00000000-0005-0000-0000-00002B000000}"/>
    <cellStyle name="_Inventories Steven" xfId="423" xr:uid="{00000000-0005-0000-0000-00002C000000}"/>
    <cellStyle name="_Inventory" xfId="424" xr:uid="{00000000-0005-0000-0000-00002D000000}"/>
    <cellStyle name="_Investments in sub" xfId="425" xr:uid="{00000000-0005-0000-0000-00002E000000}"/>
    <cellStyle name="_Manuf. overhead - Payroll 07" xfId="426" xr:uid="{00000000-0005-0000-0000-00002F000000}"/>
    <cellStyle name="_Mat" xfId="427" xr:uid="{00000000-0005-0000-0000-000030000000}"/>
    <cellStyle name="_Megainfo HK wpf 2009 Oct" xfId="57" xr:uid="{00000000-0005-0000-0000-000031000000}"/>
    <cellStyle name="_Other payables" xfId="428" xr:uid="{00000000-0005-0000-0000-000032000000}"/>
    <cellStyle name="_Payroll" xfId="429" xr:uid="{00000000-0005-0000-0000-000033000000}"/>
    <cellStyle name="_Projection for private group (18 Jun)" xfId="430" xr:uid="{00000000-0005-0000-0000-000034000000}"/>
    <cellStyle name="_provison for bad debts - ok" xfId="431" xr:uid="{00000000-0005-0000-0000-000035000000}"/>
    <cellStyle name="_Reasonable test on manufacturing depreciation 07" xfId="432" xr:uid="{00000000-0005-0000-0000-000036000000}"/>
    <cellStyle name="_RR" xfId="433" xr:uid="{00000000-0005-0000-0000-000037000000}"/>
    <cellStyle name="_RR昆山" xfId="434" xr:uid="{00000000-0005-0000-0000-000038000000}"/>
    <cellStyle name="_Sales Commission 06" xfId="435" xr:uid="{00000000-0005-0000-0000-000039000000}"/>
    <cellStyle name="_Sch X1 (T-test)" xfId="51" xr:uid="{00000000-0005-0000-0000-00003A000000}"/>
    <cellStyle name="_Shareholders' equity45" xfId="436" xr:uid="{00000000-0005-0000-0000-00003B000000}"/>
    <cellStyle name="_Sinotrans HK Holding_consol TB_2005 (20060420)" xfId="437" xr:uid="{00000000-0005-0000-0000-00003C000000}"/>
    <cellStyle name="_Substantive test SImon FA" xfId="438" xr:uid="{00000000-0005-0000-0000-00003D000000}"/>
    <cellStyle name="_Summary of misstatement" xfId="439" xr:uid="{00000000-0005-0000-0000-00003E000000}"/>
    <cellStyle name="_Tax 04" xfId="440" xr:uid="{00000000-0005-0000-0000-00003F000000}"/>
    <cellStyle name="_Tax 05" xfId="441" xr:uid="{00000000-0005-0000-0000-000040000000}"/>
    <cellStyle name="_Working-Holding-0405Ron" xfId="442" xr:uid="{00000000-0005-0000-0000-000041000000}"/>
    <cellStyle name="_Yichun wpf" xfId="443" xr:uid="{00000000-0005-0000-0000-000042000000}"/>
    <cellStyle name="_Yichun wpf 20070913" xfId="444" xr:uid="{00000000-0005-0000-0000-000043000000}"/>
    <cellStyle name="_上海酒店1" xfId="446" xr:uid="{00000000-0005-0000-0000-000046000000}"/>
    <cellStyle name="_上级拨入资金明细" xfId="447" xr:uid="{00000000-0005-0000-0000-000045000000}"/>
    <cellStyle name="_中力房地产底稿" xfId="452" xr:uid="{00000000-0005-0000-0000-00004B000000}"/>
    <cellStyle name="_中铁行包武汉底稿" xfId="453" xr:uid="{00000000-0005-0000-0000-00004C000000}"/>
    <cellStyle name="_二年一期关联销售采购明细表" xfId="445" xr:uid="{00000000-0005-0000-0000-000044000000}"/>
    <cellStyle name="_会计差错调整分录" xfId="459" xr:uid="{00000000-0005-0000-0000-000052000000}"/>
    <cellStyle name="_债权" xfId="494" xr:uid="{00000000-0005-0000-0000-000069000000}"/>
    <cellStyle name="_凡谷报表2006新" xfId="448" xr:uid="{00000000-0005-0000-0000-000047000000}"/>
    <cellStyle name="_哈密公司附件一：xx公司审计明细表(1)" xfId="472" xr:uid="{00000000-0005-0000-0000-000064000000}"/>
    <cellStyle name="_唐山底稿" xfId="475" xr:uid="{00000000-0005-0000-0000-00006A000000}"/>
    <cellStyle name="_固定资产-new" xfId="466" xr:uid="{00000000-0005-0000-0000-00005B000000}"/>
    <cellStyle name="_固定资产明细表上报" xfId="467" xr:uid="{00000000-0005-0000-0000-00005C000000}"/>
    <cellStyle name="_坏账准备明细表-2004 12 31" xfId="461" xr:uid="{00000000-0005-0000-0000-000055000000}"/>
    <cellStyle name="_复件 12月22日按石油行业分类对比表" xfId="473" xr:uid="{00000000-0005-0000-0000-000065000000}"/>
    <cellStyle name="_外运2005模板黑龙江" xfId="455" xr:uid="{00000000-0005-0000-0000-00004E000000}"/>
    <cellStyle name="_大连中铁快运有限公司审计底稿HMK" xfId="449" xr:uid="{00000000-0005-0000-0000-000048000000}"/>
    <cellStyle name="_大连分底稿" xfId="450" xr:uid="{00000000-0005-0000-0000-000049000000}"/>
    <cellStyle name="_天业底稿" xfId="454" xr:uid="{00000000-0005-0000-0000-00004D000000}"/>
    <cellStyle name="_审计所需资料清单附件-07年6月30日.电子配件公司" xfId="495" xr:uid="{00000000-0005-0000-0000-00005D000000}"/>
    <cellStyle name="_审计明细表-上海分" xfId="496" xr:uid="{00000000-0005-0000-0000-00005E000000}"/>
    <cellStyle name="_山东空运底稿HMK" xfId="451" xr:uid="{00000000-0005-0000-0000-00004A000000}"/>
    <cellStyle name="_常州中油年审底稿Lj" xfId="479" xr:uid="{00000000-0005-0000-0000-000071000000}"/>
    <cellStyle name="_常州公司折旧" xfId="480" xr:uid="{00000000-0005-0000-0000-000072000000}"/>
    <cellStyle name="_常州华油机关年审底稿HMK" xfId="481" xr:uid="{00000000-0005-0000-0000-000073000000}"/>
    <cellStyle name="_常州大酒店-bai" xfId="478" xr:uid="{00000000-0005-0000-0000-000070000000}"/>
    <cellStyle name="_常州酒店存货" xfId="482" xr:uid="{00000000-0005-0000-0000-000074000000}"/>
    <cellStyle name="_常德华油05-10底稿" xfId="483" xr:uid="{00000000-0005-0000-0000-000075000000}"/>
    <cellStyle name="_底稿-CP" xfId="468" xr:uid="{00000000-0005-0000-0000-00005F000000}"/>
    <cellStyle name="_建材院年审底稿HMK" xfId="474" xr:uid="{00000000-0005-0000-0000-000066000000}"/>
    <cellStyle name="_张掖公司审1" xfId="497" xr:uid="{00000000-0005-0000-0000-000056000000}"/>
    <cellStyle name="_張掖Extended TB" xfId="484" xr:uid="{00000000-0005-0000-0000-000076000000}"/>
    <cellStyle name="_張掖底稿" xfId="485" xr:uid="{00000000-0005-0000-0000-000077000000}"/>
    <cellStyle name="_报表06年-9月份" xfId="462" xr:uid="{00000000-0005-0000-0000-000057000000}"/>
    <cellStyle name="_新政策对折旧影响计算表" xfId="491" xr:uid="{00000000-0005-0000-0000-00007E000000}"/>
    <cellStyle name="_新疆20070630working 182007" xfId="492" xr:uid="{00000000-0005-0000-0000-00007F000000}"/>
    <cellStyle name="_新绍辰州锑业公司" xfId="493" xr:uid="{00000000-0005-0000-0000-00007D000000}"/>
    <cellStyle name="_最新关联方交易 (合并层次)" xfId="488" xr:uid="{00000000-0005-0000-0000-00007A000000}"/>
    <cellStyle name="_本部底稿-HZ " xfId="456" xr:uid="{00000000-0005-0000-0000-00004F000000}"/>
    <cellStyle name="_机关年审底稿ZK-HMK" xfId="460" xr:uid="{00000000-0005-0000-0000-000053000000}"/>
    <cellStyle name="_桂林底稿" xfId="476" xr:uid="{00000000-0005-0000-0000-00006B000000}"/>
    <cellStyle name="_母公司TB" xfId="457" xr:uid="{00000000-0005-0000-0000-000050000000}"/>
    <cellStyle name="_母公司---YY" xfId="458" xr:uid="{00000000-0005-0000-0000-000051000000}"/>
    <cellStyle name="_深圳分底稿-调好格式" xfId="486" xr:uid="{00000000-0005-0000-0000-000078000000}"/>
    <cellStyle name="_深圳空运底稿HMK打印稿" xfId="487" xr:uid="{00000000-0005-0000-0000-000079000000}"/>
    <cellStyle name="_湖南久凌底稿-pass" xfId="489" xr:uid="{00000000-0005-0000-0000-00007B000000}"/>
    <cellStyle name="_结算中心-07年6月30日" xfId="498" xr:uid="{00000000-0005-0000-0000-000067000000}"/>
    <cellStyle name="_联交所Q" xfId="490" xr:uid="{00000000-0005-0000-0000-00007C000000}"/>
    <cellStyle name="_补充资料-上海分(缺客户往来)" xfId="469" xr:uid="{00000000-0005-0000-0000-000060000000}"/>
    <cellStyle name="_货币资金" xfId="499" xr:uid="{00000000-0005-0000-0000-000061000000}"/>
    <cellStyle name="_贷款明细表" xfId="500" xr:uid="{00000000-0005-0000-0000-000068000000}"/>
    <cellStyle name="_资产底稿" xfId="501" xr:uid="{00000000-0005-0000-0000-00006C000000}"/>
    <cellStyle name="_辰州本部底稿2006.10WLC" xfId="463" xr:uid="{00000000-0005-0000-0000-000058000000}"/>
    <cellStyle name="_辰州本部底稿2006.12WLC" xfId="464" xr:uid="{00000000-0005-0000-0000-000059000000}"/>
    <cellStyle name="_辰州矿业本部HMK" xfId="465" xr:uid="{00000000-0005-0000-0000-00005A000000}"/>
    <cellStyle name="_辽河内控HMK" xfId="502" xr:uid="{00000000-0005-0000-0000-000054000000}"/>
    <cellStyle name="_酒店税金附加" xfId="477" xr:uid="{00000000-0005-0000-0000-00006D000000}"/>
    <cellStyle name="_附件一：母公司审计明细表" xfId="470" xr:uid="{00000000-0005-0000-0000-000062000000}"/>
    <cellStyle name="_附注－WLC审计部分" xfId="471" xr:uid="{00000000-0005-0000-0000-000063000000}"/>
    <cellStyle name="_预审小结附件2006" xfId="503" xr:uid="{00000000-0005-0000-0000-00006E000000}"/>
    <cellStyle name="_预审计底稿－大鹏" xfId="504" xr:uid="{00000000-0005-0000-0000-00006F000000}"/>
    <cellStyle name="{Comma [0]}" xfId="505" xr:uid="{00000000-0005-0000-0000-000080000000}"/>
    <cellStyle name="{Comma}" xfId="506" xr:uid="{00000000-0005-0000-0000-000081000000}"/>
    <cellStyle name="{Date}" xfId="507" xr:uid="{00000000-0005-0000-0000-000082000000}"/>
    <cellStyle name="{Month}" xfId="508" xr:uid="{00000000-0005-0000-0000-000083000000}"/>
    <cellStyle name="{Percent}" xfId="509" xr:uid="{00000000-0005-0000-0000-000084000000}"/>
    <cellStyle name="{Thousand [0]}" xfId="510" xr:uid="{00000000-0005-0000-0000-000085000000}"/>
    <cellStyle name="{Thousand}" xfId="511" xr:uid="{00000000-0005-0000-0000-000086000000}"/>
    <cellStyle name="{Z'0000(1 dec)}" xfId="512" xr:uid="{00000000-0005-0000-0000-000087000000}"/>
    <cellStyle name="{Z'0000(4 dec)}" xfId="513" xr:uid="{00000000-0005-0000-0000-000088000000}"/>
    <cellStyle name="¶W³sµ²" xfId="514" xr:uid="{00000000-0005-0000-0000-000089000000}"/>
    <cellStyle name="0%" xfId="515" xr:uid="{00000000-0005-0000-0000-00008A000000}"/>
    <cellStyle name="0,0_x000d__x000a_NA_x000d__x000a_" xfId="516" xr:uid="{00000000-0005-0000-0000-00008B000000}"/>
    <cellStyle name="0,0_x000d__x000a_NA_x000d__x000a_ 3" xfId="234" xr:uid="{00000000-0005-0000-0000-00008C000000}"/>
    <cellStyle name="0.0%" xfId="517" xr:uid="{00000000-0005-0000-0000-00008D000000}"/>
    <cellStyle name="0.00%" xfId="518" xr:uid="{00000000-0005-0000-0000-00008E000000}"/>
    <cellStyle name="1" xfId="519" xr:uid="{00000000-0005-0000-0000-00008F000000}"/>
    <cellStyle name="20% - 强调文字颜色 1" xfId="520" xr:uid="{00000000-0005-0000-0000-000090000000}"/>
    <cellStyle name="20% - 强调文字颜色 1 2" xfId="776" xr:uid="{00000000-0005-0000-0000-000091000000}"/>
    <cellStyle name="20% - 强调文字颜色 1 2 2" xfId="825" xr:uid="{00000000-0005-0000-0000-000092000000}"/>
    <cellStyle name="20% - 强调文字颜色 2" xfId="521" xr:uid="{00000000-0005-0000-0000-000093000000}"/>
    <cellStyle name="20% - 强调文字颜色 2 2" xfId="777" xr:uid="{00000000-0005-0000-0000-000094000000}"/>
    <cellStyle name="20% - 强调文字颜色 2 2 2" xfId="826" xr:uid="{00000000-0005-0000-0000-000095000000}"/>
    <cellStyle name="20% - 强调文字颜色 3" xfId="522" xr:uid="{00000000-0005-0000-0000-000096000000}"/>
    <cellStyle name="20% - 强调文字颜色 3 2" xfId="778" xr:uid="{00000000-0005-0000-0000-000097000000}"/>
    <cellStyle name="20% - 强调文字颜色 3 2 2" xfId="827" xr:uid="{00000000-0005-0000-0000-000098000000}"/>
    <cellStyle name="20% - 强调文字颜色 4" xfId="523" xr:uid="{00000000-0005-0000-0000-000099000000}"/>
    <cellStyle name="20% - 强调文字颜色 4 2" xfId="779" xr:uid="{00000000-0005-0000-0000-00009A000000}"/>
    <cellStyle name="20% - 强调文字颜色 4 2 2" xfId="828" xr:uid="{00000000-0005-0000-0000-00009B000000}"/>
    <cellStyle name="20% - 强调文字颜色 5" xfId="524" xr:uid="{00000000-0005-0000-0000-00009C000000}"/>
    <cellStyle name="20% - 强调文字颜色 5 2" xfId="780" xr:uid="{00000000-0005-0000-0000-00009D000000}"/>
    <cellStyle name="20% - 强调文字颜色 5 2 2" xfId="829" xr:uid="{00000000-0005-0000-0000-00009E000000}"/>
    <cellStyle name="20% - 强调文字颜色 6" xfId="525" xr:uid="{00000000-0005-0000-0000-00009F000000}"/>
    <cellStyle name="20% - 强调文字颜色 6 2" xfId="781" xr:uid="{00000000-0005-0000-0000-0000A0000000}"/>
    <cellStyle name="20% - 强调文字颜色 6 2 2" xfId="830" xr:uid="{00000000-0005-0000-0000-0000A1000000}"/>
    <cellStyle name="3232" xfId="526" xr:uid="{00000000-0005-0000-0000-0000A2000000}"/>
    <cellStyle name="40% - 强调文字颜色 1" xfId="527" xr:uid="{00000000-0005-0000-0000-0000A3000000}"/>
    <cellStyle name="40% - 强调文字颜色 1 2" xfId="782" xr:uid="{00000000-0005-0000-0000-0000A4000000}"/>
    <cellStyle name="40% - 强调文字颜色 1 2 2" xfId="831" xr:uid="{00000000-0005-0000-0000-0000A5000000}"/>
    <cellStyle name="40% - 强调文字颜色 2" xfId="528" xr:uid="{00000000-0005-0000-0000-0000A6000000}"/>
    <cellStyle name="40% - 强调文字颜色 2 2" xfId="783" xr:uid="{00000000-0005-0000-0000-0000A7000000}"/>
    <cellStyle name="40% - 强调文字颜色 2 2 2" xfId="832" xr:uid="{00000000-0005-0000-0000-0000A8000000}"/>
    <cellStyle name="40% - 强调文字颜色 3" xfId="529" xr:uid="{00000000-0005-0000-0000-0000A9000000}"/>
    <cellStyle name="40% - 强调文字颜色 3 2" xfId="784" xr:uid="{00000000-0005-0000-0000-0000AA000000}"/>
    <cellStyle name="40% - 强调文字颜色 3 2 2" xfId="833" xr:uid="{00000000-0005-0000-0000-0000AB000000}"/>
    <cellStyle name="40% - 强调文字颜色 4" xfId="530" xr:uid="{00000000-0005-0000-0000-0000AC000000}"/>
    <cellStyle name="40% - 强调文字颜色 4 2" xfId="785" xr:uid="{00000000-0005-0000-0000-0000AD000000}"/>
    <cellStyle name="40% - 强调文字颜色 4 2 2" xfId="834" xr:uid="{00000000-0005-0000-0000-0000AE000000}"/>
    <cellStyle name="40% - 强调文字颜色 5" xfId="531" xr:uid="{00000000-0005-0000-0000-0000AF000000}"/>
    <cellStyle name="40% - 强调文字颜色 5 2" xfId="786" xr:uid="{00000000-0005-0000-0000-0000B0000000}"/>
    <cellStyle name="40% - 强调文字颜色 5 2 2" xfId="835" xr:uid="{00000000-0005-0000-0000-0000B1000000}"/>
    <cellStyle name="40% - 强调文字颜色 6" xfId="532" xr:uid="{00000000-0005-0000-0000-0000B2000000}"/>
    <cellStyle name="40% - 强调文字颜色 6 2" xfId="787" xr:uid="{00000000-0005-0000-0000-0000B3000000}"/>
    <cellStyle name="40% - 强调文字颜色 6 2 2" xfId="836" xr:uid="{00000000-0005-0000-0000-0000B4000000}"/>
    <cellStyle name="60% - 强调文字颜色 1" xfId="533" xr:uid="{00000000-0005-0000-0000-0000B5000000}"/>
    <cellStyle name="60% - 强调文字颜色 1 2" xfId="788" xr:uid="{00000000-0005-0000-0000-0000B6000000}"/>
    <cellStyle name="60% - 强调文字颜色 1 2 2" xfId="837" xr:uid="{00000000-0005-0000-0000-0000B7000000}"/>
    <cellStyle name="60% - 强调文字颜色 2" xfId="534" xr:uid="{00000000-0005-0000-0000-0000B8000000}"/>
    <cellStyle name="60% - 强调文字颜色 2 2" xfId="789" xr:uid="{00000000-0005-0000-0000-0000B9000000}"/>
    <cellStyle name="60% - 强调文字颜色 2 2 2" xfId="838" xr:uid="{00000000-0005-0000-0000-0000BA000000}"/>
    <cellStyle name="60% - 强调文字颜色 3" xfId="535" xr:uid="{00000000-0005-0000-0000-0000BB000000}"/>
    <cellStyle name="60% - 强调文字颜色 3 2" xfId="790" xr:uid="{00000000-0005-0000-0000-0000BC000000}"/>
    <cellStyle name="60% - 强调文字颜色 3 2 2" xfId="839" xr:uid="{00000000-0005-0000-0000-0000BD000000}"/>
    <cellStyle name="60% - 强调文字颜色 4" xfId="536" xr:uid="{00000000-0005-0000-0000-0000BE000000}"/>
    <cellStyle name="60% - 强调文字颜色 4 2" xfId="791" xr:uid="{00000000-0005-0000-0000-0000BF000000}"/>
    <cellStyle name="60% - 强调文字颜色 4 2 2" xfId="840" xr:uid="{00000000-0005-0000-0000-0000C0000000}"/>
    <cellStyle name="60% - 强调文字颜色 5" xfId="537" xr:uid="{00000000-0005-0000-0000-0000C1000000}"/>
    <cellStyle name="60% - 强调文字颜色 5 2" xfId="792" xr:uid="{00000000-0005-0000-0000-0000C2000000}"/>
    <cellStyle name="60% - 强调文字颜色 5 2 2" xfId="841" xr:uid="{00000000-0005-0000-0000-0000C3000000}"/>
    <cellStyle name="60% - 强调文字颜色 6" xfId="538" xr:uid="{00000000-0005-0000-0000-0000C4000000}"/>
    <cellStyle name="60% - 强调文字颜色 6 2" xfId="793" xr:uid="{00000000-0005-0000-0000-0000C5000000}"/>
    <cellStyle name="60% - 强调文字颜色 6 2 2" xfId="842" xr:uid="{00000000-0005-0000-0000-0000C6000000}"/>
    <cellStyle name="9" xfId="539" xr:uid="{00000000-0005-0000-0000-0000C7000000}"/>
    <cellStyle name="99/12/31" xfId="540" xr:uid="{00000000-0005-0000-0000-0000C8000000}"/>
    <cellStyle name="ÀH«áªº¶W³sµ²" xfId="541" xr:uid="{00000000-0005-0000-0000-0000C9000000}"/>
    <cellStyle name="args.style" xfId="542" xr:uid="{00000000-0005-0000-0000-0000CA000000}"/>
    <cellStyle name="Calc Currency (0)" xfId="543" xr:uid="{00000000-0005-0000-0000-0000CB000000}"/>
    <cellStyle name="Calc Currency (2)" xfId="544" xr:uid="{00000000-0005-0000-0000-0000CC000000}"/>
    <cellStyle name="Calc Percent (0)" xfId="545" xr:uid="{00000000-0005-0000-0000-0000CD000000}"/>
    <cellStyle name="Calc Percent (1)" xfId="546" xr:uid="{00000000-0005-0000-0000-0000CE000000}"/>
    <cellStyle name="Calc Percent (2)" xfId="547" xr:uid="{00000000-0005-0000-0000-0000CF000000}"/>
    <cellStyle name="Calc Units (0)" xfId="548" xr:uid="{00000000-0005-0000-0000-0000D0000000}"/>
    <cellStyle name="Calc Units (1)" xfId="549" xr:uid="{00000000-0005-0000-0000-0000D1000000}"/>
    <cellStyle name="Calc Units (2)" xfId="550" xr:uid="{00000000-0005-0000-0000-0000D2000000}"/>
    <cellStyle name="category" xfId="551" xr:uid="{00000000-0005-0000-0000-0000D3000000}"/>
    <cellStyle name="Col Heads" xfId="552" xr:uid="{00000000-0005-0000-0000-0000D4000000}"/>
    <cellStyle name="Column_Title" xfId="553" xr:uid="{00000000-0005-0000-0000-0000D5000000}"/>
    <cellStyle name="Comma  - Style1" xfId="554" xr:uid="{00000000-0005-0000-0000-0000D6000000}"/>
    <cellStyle name="Comma  - Style2" xfId="555" xr:uid="{00000000-0005-0000-0000-0000D7000000}"/>
    <cellStyle name="Comma  - Style3" xfId="556" xr:uid="{00000000-0005-0000-0000-0000D8000000}"/>
    <cellStyle name="Comma  - Style4" xfId="557" xr:uid="{00000000-0005-0000-0000-0000D9000000}"/>
    <cellStyle name="Comma  - Style5" xfId="558" xr:uid="{00000000-0005-0000-0000-0000DA000000}"/>
    <cellStyle name="Comma  - Style6" xfId="559" xr:uid="{00000000-0005-0000-0000-0000DB000000}"/>
    <cellStyle name="Comma  - Style7" xfId="560" xr:uid="{00000000-0005-0000-0000-0000DC000000}"/>
    <cellStyle name="Comma  - Style8" xfId="561" xr:uid="{00000000-0005-0000-0000-0000DD000000}"/>
    <cellStyle name="Comma [00]" xfId="562" xr:uid="{00000000-0005-0000-0000-0000DE000000}"/>
    <cellStyle name="Comma [4]" xfId="563" xr:uid="{00000000-0005-0000-0000-0000DF000000}"/>
    <cellStyle name="Comma 10" xfId="14" xr:uid="{00000000-0005-0000-0000-0000E0000000}"/>
    <cellStyle name="Comma 10 2" xfId="45" xr:uid="{00000000-0005-0000-0000-0000E1000000}"/>
    <cellStyle name="Comma 10 2 2" xfId="271" xr:uid="{00000000-0005-0000-0000-0000E2000000}"/>
    <cellStyle name="Comma 10 2 2 2" xfId="377" xr:uid="{00000000-0005-0000-0000-0000E3000000}"/>
    <cellStyle name="Comma 10 2 3" xfId="306" xr:uid="{00000000-0005-0000-0000-0000E4000000}"/>
    <cellStyle name="Comma 10 2 4" xfId="774" xr:uid="{00000000-0005-0000-0000-0000E5000000}"/>
    <cellStyle name="Comma 10 3" xfId="297" xr:uid="{00000000-0005-0000-0000-0000E6000000}"/>
    <cellStyle name="Comma 100" xfId="109" xr:uid="{00000000-0005-0000-0000-0000E7000000}"/>
    <cellStyle name="Comma 100 2" xfId="322" xr:uid="{00000000-0005-0000-0000-0000E8000000}"/>
    <cellStyle name="Comma 103" xfId="113" xr:uid="{00000000-0005-0000-0000-0000E9000000}"/>
    <cellStyle name="Comma 103 2" xfId="323" xr:uid="{00000000-0005-0000-0000-0000EA000000}"/>
    <cellStyle name="Comma 106" xfId="116" xr:uid="{00000000-0005-0000-0000-0000EB000000}"/>
    <cellStyle name="Comma 106 2" xfId="324" xr:uid="{00000000-0005-0000-0000-0000EC000000}"/>
    <cellStyle name="Comma 109" xfId="107" xr:uid="{00000000-0005-0000-0000-0000ED000000}"/>
    <cellStyle name="Comma 109 2" xfId="321" xr:uid="{00000000-0005-0000-0000-0000EE000000}"/>
    <cellStyle name="Comma 11" xfId="564" xr:uid="{00000000-0005-0000-0000-0000EF000000}"/>
    <cellStyle name="Comma 11 2 4" xfId="282" xr:uid="{00000000-0005-0000-0000-0000F0000000}"/>
    <cellStyle name="Comma 11 2 4 2" xfId="381" xr:uid="{00000000-0005-0000-0000-0000F1000000}"/>
    <cellStyle name="Comma 111" xfId="117" xr:uid="{00000000-0005-0000-0000-0000F2000000}"/>
    <cellStyle name="Comma 111 2" xfId="325" xr:uid="{00000000-0005-0000-0000-0000F3000000}"/>
    <cellStyle name="Comma 114" xfId="121" xr:uid="{00000000-0005-0000-0000-0000F4000000}"/>
    <cellStyle name="Comma 114 2" xfId="326" xr:uid="{00000000-0005-0000-0000-0000F5000000}"/>
    <cellStyle name="Comma 117" xfId="124" xr:uid="{00000000-0005-0000-0000-0000F6000000}"/>
    <cellStyle name="Comma 117 2" xfId="327" xr:uid="{00000000-0005-0000-0000-0000F7000000}"/>
    <cellStyle name="Comma 19" xfId="20" xr:uid="{00000000-0005-0000-0000-0000F8000000}"/>
    <cellStyle name="Comma 19 2" xfId="74" xr:uid="{00000000-0005-0000-0000-0000F9000000}"/>
    <cellStyle name="Comma 19 2 2" xfId="76" xr:uid="{00000000-0005-0000-0000-0000FA000000}"/>
    <cellStyle name="Comma 19 2 2 2" xfId="174" xr:uid="{00000000-0005-0000-0000-0000FB000000}"/>
    <cellStyle name="Comma 19 2 2 2 2" xfId="342" xr:uid="{00000000-0005-0000-0000-0000FC000000}"/>
    <cellStyle name="Comma 19 2 2 3" xfId="314" xr:uid="{00000000-0005-0000-0000-0000FD000000}"/>
    <cellStyle name="Comma 19 2 3" xfId="172" xr:uid="{00000000-0005-0000-0000-0000FE000000}"/>
    <cellStyle name="Comma 19 2 3 2" xfId="341" xr:uid="{00000000-0005-0000-0000-0000FF000000}"/>
    <cellStyle name="Comma 19 2 4" xfId="313" xr:uid="{00000000-0005-0000-0000-000000010000}"/>
    <cellStyle name="Comma 19 3" xfId="147" xr:uid="{00000000-0005-0000-0000-000001010000}"/>
    <cellStyle name="Comma 19 3 2" xfId="332" xr:uid="{00000000-0005-0000-0000-000002010000}"/>
    <cellStyle name="Comma 19 4" xfId="298" xr:uid="{00000000-0005-0000-0000-000003010000}"/>
    <cellStyle name="Comma 19 6" xfId="38" xr:uid="{00000000-0005-0000-0000-000004010000}"/>
    <cellStyle name="Comma 19 6 2" xfId="69" xr:uid="{00000000-0005-0000-0000-000005010000}"/>
    <cellStyle name="Comma 19 6 2 2" xfId="167" xr:uid="{00000000-0005-0000-0000-000006010000}"/>
    <cellStyle name="Comma 19 6 2 2 2" xfId="339" xr:uid="{00000000-0005-0000-0000-000007010000}"/>
    <cellStyle name="Comma 19 6 2 3" xfId="311" xr:uid="{00000000-0005-0000-0000-000008010000}"/>
    <cellStyle name="Comma 19 6 3" xfId="156" xr:uid="{00000000-0005-0000-0000-000009010000}"/>
    <cellStyle name="Comma 19 6 3 2" xfId="337" xr:uid="{00000000-0005-0000-0000-00000A010000}"/>
    <cellStyle name="Comma 19 6 4" xfId="304" xr:uid="{00000000-0005-0000-0000-00000B010000}"/>
    <cellStyle name="Comma 2" xfId="10" xr:uid="{00000000-0005-0000-0000-00000C010000}"/>
    <cellStyle name="Comma 2 2" xfId="211" xr:uid="{00000000-0005-0000-0000-00000D010000}"/>
    <cellStyle name="Comma 2 2 2" xfId="223" xr:uid="{00000000-0005-0000-0000-00000E010000}"/>
    <cellStyle name="Comma 2 2 2 2" xfId="224" xr:uid="{00000000-0005-0000-0000-00000F010000}"/>
    <cellStyle name="Comma 2 2 2 2 2" xfId="360" xr:uid="{00000000-0005-0000-0000-000010010000}"/>
    <cellStyle name="Comma 2 2 2 3" xfId="359" xr:uid="{00000000-0005-0000-0000-000011010000}"/>
    <cellStyle name="Comma 2 2 3" xfId="768" xr:uid="{00000000-0005-0000-0000-000012010000}"/>
    <cellStyle name="Comma 2 3" xfId="245" xr:uid="{00000000-0005-0000-0000-000013010000}"/>
    <cellStyle name="Comma 2 3 2" xfId="368" xr:uid="{00000000-0005-0000-0000-000014010000}"/>
    <cellStyle name="Comma 2 4" xfId="295" xr:uid="{00000000-0005-0000-0000-000015010000}"/>
    <cellStyle name="Comma 2 4 3" xfId="52" xr:uid="{00000000-0005-0000-0000-000016010000}"/>
    <cellStyle name="Comma 2 4 3 2" xfId="308" xr:uid="{00000000-0005-0000-0000-000017010000}"/>
    <cellStyle name="Comma 2 5" xfId="565" xr:uid="{00000000-0005-0000-0000-000018010000}"/>
    <cellStyle name="Comma 2 7" xfId="276" xr:uid="{00000000-0005-0000-0000-000019010000}"/>
    <cellStyle name="Comma 2 7 2" xfId="379" xr:uid="{00000000-0005-0000-0000-00001A010000}"/>
    <cellStyle name="Comma 221" xfId="29" xr:uid="{00000000-0005-0000-0000-00001B010000}"/>
    <cellStyle name="Comma 221 2" xfId="152" xr:uid="{00000000-0005-0000-0000-00001C010000}"/>
    <cellStyle name="Comma 221 2 2" xfId="83" xr:uid="{00000000-0005-0000-0000-00001D010000}"/>
    <cellStyle name="Comma 221 2 2 2" xfId="138" xr:uid="{00000000-0005-0000-0000-00001E010000}"/>
    <cellStyle name="Comma 221 2 2 2 2" xfId="201" xr:uid="{00000000-0005-0000-0000-00001F010000}"/>
    <cellStyle name="Comma 221 2 2 2 2 2" xfId="350" xr:uid="{00000000-0005-0000-0000-000020010000}"/>
    <cellStyle name="Comma 221 2 2 2 3" xfId="331" xr:uid="{00000000-0005-0000-0000-000021010000}"/>
    <cellStyle name="Comma 221 2 2 3" xfId="181" xr:uid="{00000000-0005-0000-0000-000022010000}"/>
    <cellStyle name="Comma 221 2 2 3 2" xfId="346" xr:uid="{00000000-0005-0000-0000-000023010000}"/>
    <cellStyle name="Comma 221 2 2 4" xfId="318" xr:uid="{00000000-0005-0000-0000-000024010000}"/>
    <cellStyle name="Comma 221 2 3" xfId="335" xr:uid="{00000000-0005-0000-0000-000025010000}"/>
    <cellStyle name="Comma 221 3" xfId="302" xr:uid="{00000000-0005-0000-0000-000026010000}"/>
    <cellStyle name="Comma 222" xfId="26" xr:uid="{00000000-0005-0000-0000-000027010000}"/>
    <cellStyle name="Comma 222 2" xfId="150" xr:uid="{00000000-0005-0000-0000-000028010000}"/>
    <cellStyle name="Comma 222 2 2" xfId="79" xr:uid="{00000000-0005-0000-0000-000029010000}"/>
    <cellStyle name="Comma 222 2 2 2" xfId="81" xr:uid="{00000000-0005-0000-0000-00002A010000}"/>
    <cellStyle name="Comma 222 2 2 2 2" xfId="136" xr:uid="{00000000-0005-0000-0000-00002B010000}"/>
    <cellStyle name="Comma 222 2 2 2 2 2" xfId="199" xr:uid="{00000000-0005-0000-0000-00002C010000}"/>
    <cellStyle name="Comma 222 2 2 2 2 2 2" xfId="349" xr:uid="{00000000-0005-0000-0000-00002D010000}"/>
    <cellStyle name="Comma 222 2 2 2 2 3" xfId="330" xr:uid="{00000000-0005-0000-0000-00002E010000}"/>
    <cellStyle name="Comma 222 2 2 2 3" xfId="179" xr:uid="{00000000-0005-0000-0000-00002F010000}"/>
    <cellStyle name="Comma 222 2 2 2 3 2" xfId="345" xr:uid="{00000000-0005-0000-0000-000030010000}"/>
    <cellStyle name="Comma 222 2 2 2 4" xfId="317" xr:uid="{00000000-0005-0000-0000-000031010000}"/>
    <cellStyle name="Comma 222 2 2 3" xfId="177" xr:uid="{00000000-0005-0000-0000-000032010000}"/>
    <cellStyle name="Comma 222 2 2 3 2" xfId="344" xr:uid="{00000000-0005-0000-0000-000033010000}"/>
    <cellStyle name="Comma 222 2 2 4" xfId="316" xr:uid="{00000000-0005-0000-0000-000034010000}"/>
    <cellStyle name="Comma 222 2 3" xfId="334" xr:uid="{00000000-0005-0000-0000-000035010000}"/>
    <cellStyle name="Comma 222 3" xfId="301" xr:uid="{00000000-0005-0000-0000-000036010000}"/>
    <cellStyle name="Comma 224" xfId="71" xr:uid="{00000000-0005-0000-0000-000037010000}"/>
    <cellStyle name="Comma 224 2" xfId="24" xr:uid="{00000000-0005-0000-0000-000038010000}"/>
    <cellStyle name="Comma 224 2 2" xfId="78" xr:uid="{00000000-0005-0000-0000-000039010000}"/>
    <cellStyle name="Comma 224 2 2 2" xfId="176" xr:uid="{00000000-0005-0000-0000-00003A010000}"/>
    <cellStyle name="Comma 224 2 2 2 2" xfId="343" xr:uid="{00000000-0005-0000-0000-00003B010000}"/>
    <cellStyle name="Comma 224 2 2 3" xfId="315" xr:uid="{00000000-0005-0000-0000-00003C010000}"/>
    <cellStyle name="Comma 224 2 3" xfId="149" xr:uid="{00000000-0005-0000-0000-00003D010000}"/>
    <cellStyle name="Comma 224 2 3 2" xfId="333" xr:uid="{00000000-0005-0000-0000-00003E010000}"/>
    <cellStyle name="Comma 224 2 4" xfId="299" xr:uid="{00000000-0005-0000-0000-00003F010000}"/>
    <cellStyle name="Comma 224 3" xfId="127" xr:uid="{00000000-0005-0000-0000-000040010000}"/>
    <cellStyle name="Comma 224 3 2" xfId="196" xr:uid="{00000000-0005-0000-0000-000041010000}"/>
    <cellStyle name="Comma 224 3 2 2" xfId="348" xr:uid="{00000000-0005-0000-0000-000042010000}"/>
    <cellStyle name="Comma 224 3 3" xfId="328" xr:uid="{00000000-0005-0000-0000-000043010000}"/>
    <cellStyle name="Comma 224 4" xfId="169" xr:uid="{00000000-0005-0000-0000-000044010000}"/>
    <cellStyle name="Comma 224 4 2" xfId="340" xr:uid="{00000000-0005-0000-0000-000045010000}"/>
    <cellStyle name="Comma 224 5" xfId="312" xr:uid="{00000000-0005-0000-0000-000046010000}"/>
    <cellStyle name="Comma 242" xfId="33" xr:uid="{00000000-0005-0000-0000-000047010000}"/>
    <cellStyle name="Comma 242 2" xfId="154" xr:uid="{00000000-0005-0000-0000-000048010000}"/>
    <cellStyle name="Comma 242 2 2" xfId="336" xr:uid="{00000000-0005-0000-0000-000049010000}"/>
    <cellStyle name="Comma 242 3" xfId="303" xr:uid="{00000000-0005-0000-0000-00004A010000}"/>
    <cellStyle name="Comma 243" xfId="43" xr:uid="{00000000-0005-0000-0000-00004B010000}"/>
    <cellStyle name="Comma 243 2" xfId="158" xr:uid="{00000000-0005-0000-0000-00004C010000}"/>
    <cellStyle name="Comma 243 2 2" xfId="338" xr:uid="{00000000-0005-0000-0000-00004D010000}"/>
    <cellStyle name="Comma 243 3" xfId="305" xr:uid="{00000000-0005-0000-0000-00004E010000}"/>
    <cellStyle name="Comma 27" xfId="237" xr:uid="{00000000-0005-0000-0000-00004F010000}"/>
    <cellStyle name="Comma 27 2" xfId="269" xr:uid="{00000000-0005-0000-0000-000050010000}"/>
    <cellStyle name="Comma 27 2 2" xfId="375" xr:uid="{00000000-0005-0000-0000-000051010000}"/>
    <cellStyle name="Comma 27 3" xfId="365" xr:uid="{00000000-0005-0000-0000-000052010000}"/>
    <cellStyle name="Comma 3" xfId="102" xr:uid="{00000000-0005-0000-0000-000053010000}"/>
    <cellStyle name="Comma 3 2" xfId="61" xr:uid="{00000000-0005-0000-0000-000054010000}"/>
    <cellStyle name="Comma 3 2 2" xfId="310" xr:uid="{00000000-0005-0000-0000-000055010000}"/>
    <cellStyle name="Comma 3 2 3" xfId="769" xr:uid="{00000000-0005-0000-0000-000056010000}"/>
    <cellStyle name="Comma 3 3" xfId="194" xr:uid="{00000000-0005-0000-0000-000057010000}"/>
    <cellStyle name="Comma 3 3 2" xfId="347" xr:uid="{00000000-0005-0000-0000-000058010000}"/>
    <cellStyle name="Comma 3 4" xfId="320" xr:uid="{00000000-0005-0000-0000-000059010000}"/>
    <cellStyle name="Comma 3 5" xfId="566" xr:uid="{00000000-0005-0000-0000-00005A010000}"/>
    <cellStyle name="Comma 3 9" xfId="9" xr:uid="{00000000-0005-0000-0000-00005B010000}"/>
    <cellStyle name="Comma 3 9 2" xfId="294" xr:uid="{00000000-0005-0000-0000-00005C010000}"/>
    <cellStyle name="Comma 369" xfId="131" xr:uid="{00000000-0005-0000-0000-00005D010000}"/>
    <cellStyle name="Comma 369 2" xfId="329" xr:uid="{00000000-0005-0000-0000-00005E010000}"/>
    <cellStyle name="Comma 4" xfId="203" xr:uid="{00000000-0005-0000-0000-00005F010000}"/>
    <cellStyle name="Comma 4 2" xfId="244" xr:uid="{00000000-0005-0000-0000-000060010000}"/>
    <cellStyle name="Comma 4 2 2" xfId="367" xr:uid="{00000000-0005-0000-0000-000061010000}"/>
    <cellStyle name="Comma 4 3" xfId="7" xr:uid="{00000000-0005-0000-0000-000062010000}"/>
    <cellStyle name="Comma 4 3 2" xfId="220" xr:uid="{00000000-0005-0000-0000-000063010000}"/>
    <cellStyle name="Comma 4 3 2 2" xfId="357" xr:uid="{00000000-0005-0000-0000-000064010000}"/>
    <cellStyle name="Comma 4 3 3" xfId="293" xr:uid="{00000000-0005-0000-0000-000065010000}"/>
    <cellStyle name="Comma 4 4" xfId="49" xr:uid="{00000000-0005-0000-0000-000066010000}"/>
    <cellStyle name="Comma 4 4 2" xfId="307" xr:uid="{00000000-0005-0000-0000-000067010000}"/>
    <cellStyle name="Comma 4 4 4" xfId="251" xr:uid="{00000000-0005-0000-0000-000068010000}"/>
    <cellStyle name="Comma 4 4 4 2" xfId="370" xr:uid="{00000000-0005-0000-0000-000069010000}"/>
    <cellStyle name="Comma 4 5" xfId="351" xr:uid="{00000000-0005-0000-0000-00006A010000}"/>
    <cellStyle name="Comma 5" xfId="246" xr:uid="{00000000-0005-0000-0000-00006B010000}"/>
    <cellStyle name="Comma 5 2" xfId="369" xr:uid="{00000000-0005-0000-0000-00006C010000}"/>
    <cellStyle name="Comma 5 2 2" xfId="773" xr:uid="{00000000-0005-0000-0000-00006D010000}"/>
    <cellStyle name="Comma 5 3" xfId="760" xr:uid="{00000000-0005-0000-0000-00006E010000}"/>
    <cellStyle name="Comma 6" xfId="233" xr:uid="{00000000-0005-0000-0000-00006F010000}"/>
    <cellStyle name="Comma 6 2" xfId="239" xr:uid="{00000000-0005-0000-0000-000070010000}"/>
    <cellStyle name="Comma 6 2 2" xfId="366" xr:uid="{00000000-0005-0000-0000-000071010000}"/>
    <cellStyle name="Comma 6 3" xfId="363" xr:uid="{00000000-0005-0000-0000-000072010000}"/>
    <cellStyle name="Comma 7" xfId="254" xr:uid="{00000000-0005-0000-0000-000073010000}"/>
    <cellStyle name="Comma 7 2" xfId="371" xr:uid="{00000000-0005-0000-0000-000074010000}"/>
    <cellStyle name="Comma 7 2 2 6" xfId="25" xr:uid="{00000000-0005-0000-0000-000075010000}"/>
    <cellStyle name="Comma 7 2 2 6 2" xfId="300" xr:uid="{00000000-0005-0000-0000-000076010000}"/>
    <cellStyle name="Comma 7 3" xfId="879" xr:uid="{00000000-0005-0000-0000-000077010000}"/>
    <cellStyle name="Comma 8" xfId="231" xr:uid="{00000000-0005-0000-0000-000078010000}"/>
    <cellStyle name="Comma 8 2" xfId="12" xr:uid="{00000000-0005-0000-0000-000079010000}"/>
    <cellStyle name="Comma 8 2 2" xfId="235" xr:uid="{00000000-0005-0000-0000-00007A010000}"/>
    <cellStyle name="Comma 8 2 2 2" xfId="364" xr:uid="{00000000-0005-0000-0000-00007B010000}"/>
    <cellStyle name="Comma 8 2 3" xfId="296" xr:uid="{00000000-0005-0000-0000-00007C010000}"/>
    <cellStyle name="Comma 8 3" xfId="362" xr:uid="{00000000-0005-0000-0000-00007D010000}"/>
    <cellStyle name="Comma 8 4" xfId="875" xr:uid="{00000000-0005-0000-0000-00007E010000}"/>
    <cellStyle name="Comma 9" xfId="2" xr:uid="{00000000-0005-0000-0000-00007F010000}"/>
    <cellStyle name="Comma 94 3" xfId="280" xr:uid="{00000000-0005-0000-0000-000080010000}"/>
    <cellStyle name="Comma 94 3 2" xfId="380" xr:uid="{00000000-0005-0000-0000-000081010000}"/>
    <cellStyle name="comma zerodec" xfId="567" xr:uid="{00000000-0005-0000-0000-000082010000}"/>
    <cellStyle name="Comma,0" xfId="568" xr:uid="{00000000-0005-0000-0000-000083010000}"/>
    <cellStyle name="Comma,1" xfId="569" xr:uid="{00000000-0005-0000-0000-000084010000}"/>
    <cellStyle name="Comma,2" xfId="570" xr:uid="{00000000-0005-0000-0000-000085010000}"/>
    <cellStyle name="Comma0" xfId="248" xr:uid="{00000000-0005-0000-0000-000086010000}"/>
    <cellStyle name="Comma0 2" xfId="215" xr:uid="{00000000-0005-0000-0000-000087010000}"/>
    <cellStyle name="Comma0 2 2" xfId="286" xr:uid="{00000000-0005-0000-0000-000088010000}"/>
    <cellStyle name="Comma0 3" xfId="571" xr:uid="{00000000-0005-0000-0000-000089010000}"/>
    <cellStyle name="comma-d" xfId="572" xr:uid="{00000000-0005-0000-0000-00008A010000}"/>
    <cellStyle name="Copied" xfId="573" xr:uid="{00000000-0005-0000-0000-00008B010000}"/>
    <cellStyle name="Credit" xfId="574" xr:uid="{00000000-0005-0000-0000-00008C010000}"/>
    <cellStyle name="Curren - Style2" xfId="575" xr:uid="{00000000-0005-0000-0000-00008D010000}"/>
    <cellStyle name="Currency [00]" xfId="576" xr:uid="{00000000-0005-0000-0000-00008E010000}"/>
    <cellStyle name="Currency 2" xfId="101" xr:uid="{00000000-0005-0000-0000-00008F010000}"/>
    <cellStyle name="Currency 2 2" xfId="319" xr:uid="{00000000-0005-0000-0000-000090010000}"/>
    <cellStyle name="Currency,0" xfId="577" xr:uid="{00000000-0005-0000-0000-000091010000}"/>
    <cellStyle name="Currency,2" xfId="578" xr:uid="{00000000-0005-0000-0000-000092010000}"/>
    <cellStyle name="Currency0" xfId="579" xr:uid="{00000000-0005-0000-0000-000093010000}"/>
    <cellStyle name="Currency1" xfId="580" xr:uid="{00000000-0005-0000-0000-000094010000}"/>
    <cellStyle name="Date" xfId="581" xr:uid="{00000000-0005-0000-0000-000095010000}"/>
    <cellStyle name="Date Short" xfId="582" xr:uid="{00000000-0005-0000-0000-000096010000}"/>
    <cellStyle name="Date_capinves" xfId="583" xr:uid="{00000000-0005-0000-0000-000097010000}"/>
    <cellStyle name="Debit" xfId="584" xr:uid="{00000000-0005-0000-0000-000098010000}"/>
    <cellStyle name="Dezimal [0]_RESULTS" xfId="585" xr:uid="{00000000-0005-0000-0000-000099010000}"/>
    <cellStyle name="Dezimal_RESULTS" xfId="586" xr:uid="{00000000-0005-0000-0000-00009A010000}"/>
    <cellStyle name="Dollar (zero dec)" xfId="587" xr:uid="{00000000-0005-0000-0000-00009B010000}"/>
    <cellStyle name="Enter Currency (0)" xfId="588" xr:uid="{00000000-0005-0000-0000-00009C010000}"/>
    <cellStyle name="Enter Currency (2)" xfId="589" xr:uid="{00000000-0005-0000-0000-00009D010000}"/>
    <cellStyle name="Enter Units (0)" xfId="590" xr:uid="{00000000-0005-0000-0000-00009E010000}"/>
    <cellStyle name="Enter Units (1)" xfId="591" xr:uid="{00000000-0005-0000-0000-00009F010000}"/>
    <cellStyle name="Enter Units (2)" xfId="592" xr:uid="{00000000-0005-0000-0000-0000A0010000}"/>
    <cellStyle name="Entered" xfId="593" xr:uid="{00000000-0005-0000-0000-0000A1010000}"/>
    <cellStyle name="entry" xfId="594" xr:uid="{00000000-0005-0000-0000-0000A2010000}"/>
    <cellStyle name="entry box" xfId="595" xr:uid="{00000000-0005-0000-0000-0000A3010000}"/>
    <cellStyle name="Euro" xfId="596" xr:uid="{00000000-0005-0000-0000-0000A4010000}"/>
    <cellStyle name="EY House" xfId="597" xr:uid="{00000000-0005-0000-0000-0000A5010000}"/>
    <cellStyle name="F2" xfId="598" xr:uid="{00000000-0005-0000-0000-0000A6010000}"/>
    <cellStyle name="F3" xfId="599" xr:uid="{00000000-0005-0000-0000-0000A7010000}"/>
    <cellStyle name="F4" xfId="600" xr:uid="{00000000-0005-0000-0000-0000A8010000}"/>
    <cellStyle name="F5" xfId="601" xr:uid="{00000000-0005-0000-0000-0000A9010000}"/>
    <cellStyle name="F6" xfId="602" xr:uid="{00000000-0005-0000-0000-0000AA010000}"/>
    <cellStyle name="F7" xfId="603" xr:uid="{00000000-0005-0000-0000-0000AB010000}"/>
    <cellStyle name="F8" xfId="604" xr:uid="{00000000-0005-0000-0000-0000AC010000}"/>
    <cellStyle name="Fixed" xfId="605" xr:uid="{00000000-0005-0000-0000-0000AD010000}"/>
    <cellStyle name="Grey" xfId="606" xr:uid="{00000000-0005-0000-0000-0000AE010000}"/>
    <cellStyle name="HEADER" xfId="607" xr:uid="{00000000-0005-0000-0000-0000AF010000}"/>
    <cellStyle name="Header1" xfId="608" xr:uid="{00000000-0005-0000-0000-0000B0010000}"/>
    <cellStyle name="Header2" xfId="609" xr:uid="{00000000-0005-0000-0000-0000B1010000}"/>
    <cellStyle name="Heading" xfId="610" xr:uid="{00000000-0005-0000-0000-0000B2010000}"/>
    <cellStyle name="Heading1" xfId="611" xr:uid="{00000000-0005-0000-0000-0000B3010000}"/>
    <cellStyle name="Heading2" xfId="612" xr:uid="{00000000-0005-0000-0000-0000B4010000}"/>
    <cellStyle name="HEADINGS" xfId="613" xr:uid="{00000000-0005-0000-0000-0000B5010000}"/>
    <cellStyle name="HEADINGSTOP" xfId="614" xr:uid="{00000000-0005-0000-0000-0000B6010000}"/>
    <cellStyle name="Input [yellow]" xfId="615" xr:uid="{00000000-0005-0000-0000-0000B7010000}"/>
    <cellStyle name="left" xfId="616" xr:uid="{00000000-0005-0000-0000-0000B8010000}"/>
    <cellStyle name="Link Currency (0)" xfId="617" xr:uid="{00000000-0005-0000-0000-0000B9010000}"/>
    <cellStyle name="Link Currency (2)" xfId="618" xr:uid="{00000000-0005-0000-0000-0000BA010000}"/>
    <cellStyle name="Link Units (0)" xfId="619" xr:uid="{00000000-0005-0000-0000-0000BB010000}"/>
    <cellStyle name="Link Units (1)" xfId="620" xr:uid="{00000000-0005-0000-0000-0000BC010000}"/>
    <cellStyle name="Link Units (2)" xfId="621" xr:uid="{00000000-0005-0000-0000-0000BD010000}"/>
    <cellStyle name="Millares [0]_laroux" xfId="622" xr:uid="{00000000-0005-0000-0000-0000BE010000}"/>
    <cellStyle name="Millares_laroux" xfId="623" xr:uid="{00000000-0005-0000-0000-0000BF010000}"/>
    <cellStyle name="Milliers [0]_laroux" xfId="624" xr:uid="{00000000-0005-0000-0000-0000C0010000}"/>
    <cellStyle name="Milliers_laroux" xfId="625" xr:uid="{00000000-0005-0000-0000-0000C1010000}"/>
    <cellStyle name="Model" xfId="626" xr:uid="{00000000-0005-0000-0000-0000C2010000}"/>
    <cellStyle name="Moneda [0]_laroux" xfId="627" xr:uid="{00000000-0005-0000-0000-0000C3010000}"/>
    <cellStyle name="Moneda_laroux" xfId="628" xr:uid="{00000000-0005-0000-0000-0000C4010000}"/>
    <cellStyle name="Monétaire [0]_PERSONAL" xfId="629" xr:uid="{00000000-0005-0000-0000-0000C5010000}"/>
    <cellStyle name="Monétaire_PERSONAL" xfId="630" xr:uid="{00000000-0005-0000-0000-0000C6010000}"/>
    <cellStyle name="Mon閠aire [0]_laroux" xfId="631" xr:uid="{00000000-0005-0000-0000-0000C7010000}"/>
    <cellStyle name="Mon閠aire_laroux" xfId="632" xr:uid="{00000000-0005-0000-0000-0000C8010000}"/>
    <cellStyle name="mw" xfId="633" xr:uid="{00000000-0005-0000-0000-0000C9010000}"/>
    <cellStyle name="no dec" xfId="634" xr:uid="{00000000-0005-0000-0000-0000CA010000}"/>
    <cellStyle name="Normal" xfId="0" builtinId="0"/>
    <cellStyle name="Normal - Style1" xfId="635" xr:uid="{00000000-0005-0000-0000-0000CC010000}"/>
    <cellStyle name="Normal 1" xfId="30" xr:uid="{00000000-0005-0000-0000-0000CD010000}"/>
    <cellStyle name="Normal 1 2" xfId="794" xr:uid="{00000000-0005-0000-0000-0000CE010000}"/>
    <cellStyle name="Normal 1 2 2" xfId="843" xr:uid="{00000000-0005-0000-0000-0000CF010000}"/>
    <cellStyle name="Normal 1 3" xfId="636" xr:uid="{00000000-0005-0000-0000-0000D0010000}"/>
    <cellStyle name="Normal 10" xfId="238" xr:uid="{00000000-0005-0000-0000-0000D1010000}"/>
    <cellStyle name="Normal 10 10 2" xfId="39" xr:uid="{00000000-0005-0000-0000-0000D2010000}"/>
    <cellStyle name="Normal 10 10 2 2" xfId="128" xr:uid="{00000000-0005-0000-0000-0000D3010000}"/>
    <cellStyle name="Normal 10 10 2 3" xfId="229" xr:uid="{00000000-0005-0000-0000-0000D4010000}"/>
    <cellStyle name="Normal 10 10 2 3 2" xfId="266" xr:uid="{00000000-0005-0000-0000-0000D5010000}"/>
    <cellStyle name="Normal 10 7 3" xfId="4" xr:uid="{00000000-0005-0000-0000-0000D6010000}"/>
    <cellStyle name="Normal 10 7 3 2" xfId="95" xr:uid="{00000000-0005-0000-0000-0000D7010000}"/>
    <cellStyle name="Normal 10 7 3 2 2" xfId="188" xr:uid="{00000000-0005-0000-0000-0000D8010000}"/>
    <cellStyle name="Normal 10 7 3 3" xfId="142" xr:uid="{00000000-0005-0000-0000-0000D9010000}"/>
    <cellStyle name="Normal 100 3" xfId="260" xr:uid="{00000000-0005-0000-0000-0000DA010000}"/>
    <cellStyle name="Normal 101" xfId="253" xr:uid="{00000000-0005-0000-0000-0000DB010000}"/>
    <cellStyle name="Normal 102" xfId="140" xr:uid="{00000000-0005-0000-0000-0000DC010000}"/>
    <cellStyle name="Normal 102 2" xfId="214" xr:uid="{00000000-0005-0000-0000-0000DD010000}"/>
    <cellStyle name="Normal 11" xfId="66" xr:uid="{00000000-0005-0000-0000-0000DE010000}"/>
    <cellStyle name="Normal 11 2 2" xfId="289" xr:uid="{00000000-0005-0000-0000-0000DF010000}"/>
    <cellStyle name="Normal 12" xfId="1" xr:uid="{00000000-0005-0000-0000-0000E0010000}"/>
    <cellStyle name="Normal 122" xfId="129" xr:uid="{00000000-0005-0000-0000-0000E1010000}"/>
    <cellStyle name="Normal 122 2" xfId="197" xr:uid="{00000000-0005-0000-0000-0000E2010000}"/>
    <cellStyle name="Normal 14 2 2" xfId="278" xr:uid="{00000000-0005-0000-0000-0000E3010000}"/>
    <cellStyle name="Normal 15" xfId="46" xr:uid="{00000000-0005-0000-0000-0000E4010000}"/>
    <cellStyle name="Normal 16" xfId="240" xr:uid="{00000000-0005-0000-0000-0000E5010000}"/>
    <cellStyle name="Normal 16 3" xfId="257" xr:uid="{00000000-0005-0000-0000-0000E6010000}"/>
    <cellStyle name="Normal 179" xfId="44" xr:uid="{00000000-0005-0000-0000-0000E7010000}"/>
    <cellStyle name="Normal 179 2" xfId="91" xr:uid="{00000000-0005-0000-0000-0000E8010000}"/>
    <cellStyle name="Normal 179 2 2" xfId="184" xr:uid="{00000000-0005-0000-0000-0000E9010000}"/>
    <cellStyle name="Normal 179 3" xfId="159" xr:uid="{00000000-0005-0000-0000-0000EA010000}"/>
    <cellStyle name="Normal 18 6" xfId="58" xr:uid="{00000000-0005-0000-0000-0000EB010000}"/>
    <cellStyle name="Normal 180" xfId="19" xr:uid="{00000000-0005-0000-0000-0000EC010000}"/>
    <cellStyle name="Normal 180 2" xfId="72" xr:uid="{00000000-0005-0000-0000-0000ED010000}"/>
    <cellStyle name="Normal 180 2 2" xfId="170" xr:uid="{00000000-0005-0000-0000-0000EE010000}"/>
    <cellStyle name="Normal 180 3" xfId="73" xr:uid="{00000000-0005-0000-0000-0000EF010000}"/>
    <cellStyle name="Normal 180 3 2" xfId="75" xr:uid="{00000000-0005-0000-0000-0000F0010000}"/>
    <cellStyle name="Normal 180 3 2 2" xfId="173" xr:uid="{00000000-0005-0000-0000-0000F1010000}"/>
    <cellStyle name="Normal 180 3 3" xfId="171" xr:uid="{00000000-0005-0000-0000-0000F2010000}"/>
    <cellStyle name="Normal 180 4" xfId="134" xr:uid="{00000000-0005-0000-0000-0000F3010000}"/>
    <cellStyle name="Normal 180 5" xfId="36" xr:uid="{00000000-0005-0000-0000-0000F4010000}"/>
    <cellStyle name="Normal 180 5 2" xfId="68" xr:uid="{00000000-0005-0000-0000-0000F5010000}"/>
    <cellStyle name="Normal 180 5 2 2" xfId="166" xr:uid="{00000000-0005-0000-0000-0000F6010000}"/>
    <cellStyle name="Normal 180 5 3" xfId="155" xr:uid="{00000000-0005-0000-0000-0000F7010000}"/>
    <cellStyle name="Normal 180 6" xfId="146" xr:uid="{00000000-0005-0000-0000-0000F8010000}"/>
    <cellStyle name="Normal 192" xfId="139" xr:uid="{00000000-0005-0000-0000-0000F9010000}"/>
    <cellStyle name="Normal 2" xfId="15" xr:uid="{00000000-0005-0000-0000-0000FA010000}"/>
    <cellStyle name="Normal 2 10" xfId="265" xr:uid="{00000000-0005-0000-0000-0000FB010000}"/>
    <cellStyle name="Normal 2 10 2" xfId="268" xr:uid="{00000000-0005-0000-0000-0000FC010000}"/>
    <cellStyle name="Normal 2 2" xfId="22" xr:uid="{00000000-0005-0000-0000-0000FD010000}"/>
    <cellStyle name="Normal 2 2 2" xfId="272" xr:uid="{00000000-0005-0000-0000-0000FE010000}"/>
    <cellStyle name="Normal 2 2 2 2" xfId="273" xr:uid="{00000000-0005-0000-0000-0000FF010000}"/>
    <cellStyle name="Normal 2 2 2 3 3" xfId="67" xr:uid="{00000000-0005-0000-0000-000000020000}"/>
    <cellStyle name="Normal 2 2 3" xfId="252" xr:uid="{00000000-0005-0000-0000-000001020000}"/>
    <cellStyle name="Normal 2 2 4" xfId="133" xr:uid="{00000000-0005-0000-0000-000002020000}"/>
    <cellStyle name="Normal 2 2 4 2" xfId="241" xr:uid="{00000000-0005-0000-0000-000003020000}"/>
    <cellStyle name="Normal 2 2 5" xfId="27" xr:uid="{00000000-0005-0000-0000-000004020000}"/>
    <cellStyle name="Normal 2 3" xfId="53" xr:uid="{00000000-0005-0000-0000-000005020000}"/>
    <cellStyle name="Normal 2 3 2" xfId="11" xr:uid="{00000000-0005-0000-0000-000006020000}"/>
    <cellStyle name="Normal 2 3 2 2" xfId="84" xr:uid="{00000000-0005-0000-0000-000007020000}"/>
    <cellStyle name="Normal 2 3 2 2 2" xfId="182" xr:uid="{00000000-0005-0000-0000-000008020000}"/>
    <cellStyle name="Normal 2 3 8" xfId="35" xr:uid="{00000000-0005-0000-0000-000009020000}"/>
    <cellStyle name="Normal 2 4" xfId="227" xr:uid="{00000000-0005-0000-0000-00000A020000}"/>
    <cellStyle name="Normal 2 4 4 3 3" xfId="60" xr:uid="{00000000-0005-0000-0000-00000B020000}"/>
    <cellStyle name="Normal 2 4 4 3 3 2" xfId="96" xr:uid="{00000000-0005-0000-0000-00000C020000}"/>
    <cellStyle name="Normal 2 4 4 3 3 2 2" xfId="189" xr:uid="{00000000-0005-0000-0000-00000D020000}"/>
    <cellStyle name="Normal 2 4 4 3 3 3" xfId="162" xr:uid="{00000000-0005-0000-0000-00000E020000}"/>
    <cellStyle name="Normal 2 5" xfId="763" xr:uid="{00000000-0005-0000-0000-00000F020000}"/>
    <cellStyle name="Normal 2 7" xfId="31" xr:uid="{00000000-0005-0000-0000-000010020000}"/>
    <cellStyle name="Normal 2 8 2" xfId="249" xr:uid="{00000000-0005-0000-0000-000011020000}"/>
    <cellStyle name="Normal 2 9" xfId="8" xr:uid="{00000000-0005-0000-0000-000012020000}"/>
    <cellStyle name="Normal 2 9 2" xfId="143" xr:uid="{00000000-0005-0000-0000-000013020000}"/>
    <cellStyle name="Normal 25 5" xfId="32" xr:uid="{00000000-0005-0000-0000-000014020000}"/>
    <cellStyle name="Normal 25 5 2" xfId="153" xr:uid="{00000000-0005-0000-0000-000015020000}"/>
    <cellStyle name="Normal 291" xfId="16" xr:uid="{00000000-0005-0000-0000-000016020000}"/>
    <cellStyle name="Normal 291 2" xfId="92" xr:uid="{00000000-0005-0000-0000-000017020000}"/>
    <cellStyle name="Normal 291 2 2" xfId="80" xr:uid="{00000000-0005-0000-0000-000018020000}"/>
    <cellStyle name="Normal 291 2 2 2" xfId="135" xr:uid="{00000000-0005-0000-0000-000019020000}"/>
    <cellStyle name="Normal 291 2 2 2 2" xfId="198" xr:uid="{00000000-0005-0000-0000-00001A020000}"/>
    <cellStyle name="Normal 291 2 2 3" xfId="178" xr:uid="{00000000-0005-0000-0000-00001B020000}"/>
    <cellStyle name="Normal 291 2 3" xfId="185" xr:uid="{00000000-0005-0000-0000-00001C020000}"/>
    <cellStyle name="Normal 291 3" xfId="144" xr:uid="{00000000-0005-0000-0000-00001D020000}"/>
    <cellStyle name="Normal 292" xfId="70" xr:uid="{00000000-0005-0000-0000-00001E020000}"/>
    <cellStyle name="Normal 292 2" xfId="23" xr:uid="{00000000-0005-0000-0000-00001F020000}"/>
    <cellStyle name="Normal 292 2 2" xfId="77" xr:uid="{00000000-0005-0000-0000-000020020000}"/>
    <cellStyle name="Normal 292 2 2 2" xfId="175" xr:uid="{00000000-0005-0000-0000-000021020000}"/>
    <cellStyle name="Normal 292 2 3" xfId="148" xr:uid="{00000000-0005-0000-0000-000022020000}"/>
    <cellStyle name="Normal 292 3" xfId="168" xr:uid="{00000000-0005-0000-0000-000023020000}"/>
    <cellStyle name="Normal 294" xfId="86" xr:uid="{00000000-0005-0000-0000-000024020000}"/>
    <cellStyle name="Normal 297" xfId="87" xr:uid="{00000000-0005-0000-0000-000025020000}"/>
    <cellStyle name="Normal 3" xfId="100" xr:uid="{00000000-0005-0000-0000-000026020000}"/>
    <cellStyle name="Normal 3 2" xfId="34" xr:uid="{00000000-0005-0000-0000-000027020000}"/>
    <cellStyle name="Normal 3 2 4 3 2" xfId="204" xr:uid="{00000000-0005-0000-0000-000028020000}"/>
    <cellStyle name="Normal 3 2 4 3 2 2" xfId="352" xr:uid="{00000000-0005-0000-0000-000029020000}"/>
    <cellStyle name="Normal 3 3" xfId="6" xr:uid="{00000000-0005-0000-0000-00002A020000}"/>
    <cellStyle name="Normal 3 4" xfId="48" xr:uid="{00000000-0005-0000-0000-00002B020000}"/>
    <cellStyle name="Normal 3 4 2" xfId="243" xr:uid="{00000000-0005-0000-0000-00002C020000}"/>
    <cellStyle name="Normal 3 4 2 2" xfId="255" xr:uid="{00000000-0005-0000-0000-00002D020000}"/>
    <cellStyle name="Normal 3 5" xfId="193" xr:uid="{00000000-0005-0000-0000-00002E020000}"/>
    <cellStyle name="Normal 3 6" xfId="212" xr:uid="{00000000-0005-0000-0000-00002F020000}"/>
    <cellStyle name="Normal 3 7" xfId="217" xr:uid="{00000000-0005-0000-0000-000030020000}"/>
    <cellStyle name="Normal 3 8" xfId="637" xr:uid="{00000000-0005-0000-0000-000031020000}"/>
    <cellStyle name="Normal 300" xfId="28" xr:uid="{00000000-0005-0000-0000-000032020000}"/>
    <cellStyle name="Normal 300 2" xfId="88" xr:uid="{00000000-0005-0000-0000-000033020000}"/>
    <cellStyle name="Normal 300 2 2" xfId="82" xr:uid="{00000000-0005-0000-0000-000034020000}"/>
    <cellStyle name="Normal 300 2 2 2" xfId="137" xr:uid="{00000000-0005-0000-0000-000035020000}"/>
    <cellStyle name="Normal 300 2 2 2 2" xfId="200" xr:uid="{00000000-0005-0000-0000-000036020000}"/>
    <cellStyle name="Normal 300 2 2 3" xfId="180" xr:uid="{00000000-0005-0000-0000-000037020000}"/>
    <cellStyle name="Normal 300 3" xfId="151" xr:uid="{00000000-0005-0000-0000-000038020000}"/>
    <cellStyle name="Normal 301" xfId="89" xr:uid="{00000000-0005-0000-0000-000039020000}"/>
    <cellStyle name="Normal 310" xfId="42" xr:uid="{00000000-0005-0000-0000-00003A020000}"/>
    <cellStyle name="Normal 310 2" xfId="157" xr:uid="{00000000-0005-0000-0000-00003B020000}"/>
    <cellStyle name="Normal 312" xfId="106" xr:uid="{00000000-0005-0000-0000-00003C020000}"/>
    <cellStyle name="Normal 314" xfId="111" xr:uid="{00000000-0005-0000-0000-00003D020000}"/>
    <cellStyle name="Normal 315" xfId="112" xr:uid="{00000000-0005-0000-0000-00003E020000}"/>
    <cellStyle name="Normal 317" xfId="114" xr:uid="{00000000-0005-0000-0000-00003F020000}"/>
    <cellStyle name="Normal 318" xfId="115" xr:uid="{00000000-0005-0000-0000-000040020000}"/>
    <cellStyle name="Normal 320" xfId="110" xr:uid="{00000000-0005-0000-0000-000041020000}"/>
    <cellStyle name="Normal 321" xfId="105" xr:uid="{00000000-0005-0000-0000-000042020000}"/>
    <cellStyle name="Normal 323" xfId="118" xr:uid="{00000000-0005-0000-0000-000043020000}"/>
    <cellStyle name="Normal 324" xfId="55" xr:uid="{00000000-0005-0000-0000-000044020000}"/>
    <cellStyle name="Normal 324 2" xfId="93" xr:uid="{00000000-0005-0000-0000-000045020000}"/>
    <cellStyle name="Normal 324 2 2" xfId="186" xr:uid="{00000000-0005-0000-0000-000046020000}"/>
    <cellStyle name="Normal 324 3" xfId="160" xr:uid="{00000000-0005-0000-0000-000047020000}"/>
    <cellStyle name="Normal 325" xfId="119" xr:uid="{00000000-0005-0000-0000-000048020000}"/>
    <cellStyle name="Normal 326" xfId="120" xr:uid="{00000000-0005-0000-0000-000049020000}"/>
    <cellStyle name="Normal 328" xfId="122" xr:uid="{00000000-0005-0000-0000-00004A020000}"/>
    <cellStyle name="Normal 329" xfId="56" xr:uid="{00000000-0005-0000-0000-00004B020000}"/>
    <cellStyle name="Normal 329 2" xfId="94" xr:uid="{00000000-0005-0000-0000-00004C020000}"/>
    <cellStyle name="Normal 329 2 2" xfId="187" xr:uid="{00000000-0005-0000-0000-00004D020000}"/>
    <cellStyle name="Normal 329 3" xfId="123" xr:uid="{00000000-0005-0000-0000-00004E020000}"/>
    <cellStyle name="Normal 329 4" xfId="161" xr:uid="{00000000-0005-0000-0000-00004F020000}"/>
    <cellStyle name="Normal 33 3" xfId="207" xr:uid="{00000000-0005-0000-0000-000050020000}"/>
    <cellStyle name="Normal 4" xfId="104" xr:uid="{00000000-0005-0000-0000-000051020000}"/>
    <cellStyle name="Normal 4 2" xfId="221" xr:uid="{00000000-0005-0000-0000-000052020000}"/>
    <cellStyle name="Normal 4 3" xfId="383" xr:uid="{00000000-0005-0000-0000-000053020000}"/>
    <cellStyle name="Normal 400" xfId="259" xr:uid="{00000000-0005-0000-0000-000054020000}"/>
    <cellStyle name="Normal 5" xfId="126" xr:uid="{00000000-0005-0000-0000-000055020000}"/>
    <cellStyle name="Normal 5 2" xfId="250" xr:uid="{00000000-0005-0000-0000-000056020000}"/>
    <cellStyle name="Normal 5 3" xfId="874" xr:uid="{00000000-0005-0000-0000-000057020000}"/>
    <cellStyle name="Normal 6" xfId="202" xr:uid="{00000000-0005-0000-0000-000058020000}"/>
    <cellStyle name="Normal 6 2" xfId="759" xr:uid="{00000000-0005-0000-0000-000059020000}"/>
    <cellStyle name="Normal 7" xfId="228" xr:uid="{00000000-0005-0000-0000-00005A020000}"/>
    <cellStyle name="Normal 7 2" xfId="18" xr:uid="{00000000-0005-0000-0000-00005B020000}"/>
    <cellStyle name="Normal 7 2 2" xfId="145" xr:uid="{00000000-0005-0000-0000-00005C020000}"/>
    <cellStyle name="Normal 7 2 3" xfId="225" xr:uid="{00000000-0005-0000-0000-00005D020000}"/>
    <cellStyle name="Normal 7 3" xfId="761" xr:uid="{00000000-0005-0000-0000-00005E020000}"/>
    <cellStyle name="Normal 8" xfId="230" xr:uid="{00000000-0005-0000-0000-00005F020000}"/>
    <cellStyle name="Normal 8 2" xfId="878" xr:uid="{00000000-0005-0000-0000-000060020000}"/>
    <cellStyle name="Normal 83" xfId="242" xr:uid="{00000000-0005-0000-0000-000061020000}"/>
    <cellStyle name="Normal 9" xfId="125" xr:uid="{00000000-0005-0000-0000-000062020000}"/>
    <cellStyle name="Normal 9 2" xfId="219" xr:uid="{00000000-0005-0000-0000-000063020000}"/>
    <cellStyle name="Normal 99" xfId="41" xr:uid="{00000000-0005-0000-0000-000064020000}"/>
    <cellStyle name="Normal_wpf.09a" xfId="13" xr:uid="{00000000-0005-0000-0000-000065020000}"/>
    <cellStyle name="Normalny_Arkusz1" xfId="638" xr:uid="{00000000-0005-0000-0000-000066020000}"/>
    <cellStyle name="Output Amounts" xfId="639" xr:uid="{00000000-0005-0000-0000-000067020000}"/>
    <cellStyle name="Output Line Items" xfId="640" xr:uid="{00000000-0005-0000-0000-000068020000}"/>
    <cellStyle name="per.style" xfId="641" xr:uid="{00000000-0005-0000-0000-000069020000}"/>
    <cellStyle name="Percent (0)" xfId="643" xr:uid="{00000000-0005-0000-0000-00006A020000}"/>
    <cellStyle name="Percent [0]" xfId="644" xr:uid="{00000000-0005-0000-0000-00006B020000}"/>
    <cellStyle name="Percent [00]" xfId="645" xr:uid="{00000000-0005-0000-0000-00006C020000}"/>
    <cellStyle name="Percent [2]" xfId="646" xr:uid="{00000000-0005-0000-0000-00006D020000}"/>
    <cellStyle name="Percent 10" xfId="47" xr:uid="{00000000-0005-0000-0000-00006E020000}"/>
    <cellStyle name="Percent 12 3" xfId="54" xr:uid="{00000000-0005-0000-0000-00006F020000}"/>
    <cellStyle name="Percent 15 2" xfId="287" xr:uid="{00000000-0005-0000-0000-000070020000}"/>
    <cellStyle name="Percent 2" xfId="90" xr:uid="{00000000-0005-0000-0000-000071020000}"/>
    <cellStyle name="Percent 2 2" xfId="21" xr:uid="{00000000-0005-0000-0000-000072020000}"/>
    <cellStyle name="Percent 2 3" xfId="103" xr:uid="{00000000-0005-0000-0000-000073020000}"/>
    <cellStyle name="Percent 2 3 2" xfId="195" xr:uid="{00000000-0005-0000-0000-000074020000}"/>
    <cellStyle name="Percent 2 4" xfId="183" xr:uid="{00000000-0005-0000-0000-000075020000}"/>
    <cellStyle name="Percent 2 5" xfId="642" xr:uid="{00000000-0005-0000-0000-000076020000}"/>
    <cellStyle name="Percent 3" xfId="17" xr:uid="{00000000-0005-0000-0000-000077020000}"/>
    <cellStyle name="Percent 3 2" xfId="50" xr:uid="{00000000-0005-0000-0000-000078020000}"/>
    <cellStyle name="Percent 3 2 2" xfId="247" xr:uid="{00000000-0005-0000-0000-000079020000}"/>
    <cellStyle name="Percent 4" xfId="108" xr:uid="{00000000-0005-0000-0000-00007A020000}"/>
    <cellStyle name="Percent 4 2" xfId="877" xr:uid="{00000000-0005-0000-0000-00007B020000}"/>
    <cellStyle name="Percent 5" xfId="85" xr:uid="{00000000-0005-0000-0000-00007C020000}"/>
    <cellStyle name="Percent 5 2" xfId="876" xr:uid="{00000000-0005-0000-0000-00007D020000}"/>
    <cellStyle name="Percent 6" xfId="205" xr:uid="{00000000-0005-0000-0000-00007E020000}"/>
    <cellStyle name="Percent 6 2" xfId="880" xr:uid="{00000000-0005-0000-0000-00007F020000}"/>
    <cellStyle name="Percent 7" xfId="3" xr:uid="{00000000-0005-0000-0000-000080020000}"/>
    <cellStyle name="Percent 89" xfId="132" xr:uid="{00000000-0005-0000-0000-000081020000}"/>
    <cellStyle name="Prefilled" xfId="647" xr:uid="{00000000-0005-0000-0000-000082020000}"/>
    <cellStyle name="PrePop Currency (0)" xfId="648" xr:uid="{00000000-0005-0000-0000-000083020000}"/>
    <cellStyle name="PrePop Currency (2)" xfId="649" xr:uid="{00000000-0005-0000-0000-000084020000}"/>
    <cellStyle name="PrePop Units (0)" xfId="650" xr:uid="{00000000-0005-0000-0000-000085020000}"/>
    <cellStyle name="PrePop Units (1)" xfId="651" xr:uid="{00000000-0005-0000-0000-000086020000}"/>
    <cellStyle name="PrePop Units (2)" xfId="652" xr:uid="{00000000-0005-0000-0000-000087020000}"/>
    <cellStyle name="price" xfId="653" xr:uid="{00000000-0005-0000-0000-000088020000}"/>
    <cellStyle name="Prozent_HP PLotter_open" xfId="654" xr:uid="{00000000-0005-0000-0000-000089020000}"/>
    <cellStyle name="PSChar" xfId="655" xr:uid="{00000000-0005-0000-0000-00008A020000}"/>
    <cellStyle name="PSHeading" xfId="656" xr:uid="{00000000-0005-0000-0000-00008B020000}"/>
    <cellStyle name="Ram-General" xfId="5" xr:uid="{00000000-0005-0000-0000-00008C020000}"/>
    <cellStyle name="Ram-Reference" xfId="236" xr:uid="{00000000-0005-0000-0000-00008D020000}"/>
    <cellStyle name="regstoresfromspecstores" xfId="657" xr:uid="{00000000-0005-0000-0000-00008E020000}"/>
    <cellStyle name="revised" xfId="658" xr:uid="{00000000-0005-0000-0000-00008F020000}"/>
    <cellStyle name="RevList" xfId="659" xr:uid="{00000000-0005-0000-0000-000090020000}"/>
    <cellStyle name="section" xfId="660" xr:uid="{00000000-0005-0000-0000-000091020000}"/>
    <cellStyle name="SHADEDSTORES" xfId="661" xr:uid="{00000000-0005-0000-0000-000092020000}"/>
    <cellStyle name="SOR" xfId="662" xr:uid="{00000000-0005-0000-0000-000093020000}"/>
    <cellStyle name="SOR 2" xfId="770" xr:uid="{00000000-0005-0000-0000-000094020000}"/>
    <cellStyle name="SOR 3" xfId="795" xr:uid="{00000000-0005-0000-0000-000095020000}"/>
    <cellStyle name="specstores" xfId="663" xr:uid="{00000000-0005-0000-0000-000096020000}"/>
    <cellStyle name="Standard_HP PLotter_open" xfId="664" xr:uid="{00000000-0005-0000-0000-000097020000}"/>
    <cellStyle name="style" xfId="665" xr:uid="{00000000-0005-0000-0000-000098020000}"/>
    <cellStyle name="Style 1" xfId="37" xr:uid="{00000000-0005-0000-0000-000099020000}"/>
    <cellStyle name="Style 1 2" xfId="130" xr:uid="{00000000-0005-0000-0000-00009A020000}"/>
    <cellStyle name="Style 1 2 3" xfId="206" xr:uid="{00000000-0005-0000-0000-00009B020000}"/>
    <cellStyle name="Style 2" xfId="666" xr:uid="{00000000-0005-0000-0000-00009C020000}"/>
    <cellStyle name="Style 3" xfId="667" xr:uid="{00000000-0005-0000-0000-00009D020000}"/>
    <cellStyle name="style1" xfId="668" xr:uid="{00000000-0005-0000-0000-00009E020000}"/>
    <cellStyle name="style2" xfId="669" xr:uid="{00000000-0005-0000-0000-00009F020000}"/>
    <cellStyle name="subhead" xfId="670" xr:uid="{00000000-0005-0000-0000-0000A0020000}"/>
    <cellStyle name="Subtotal" xfId="671" xr:uid="{00000000-0005-0000-0000-0000A1020000}"/>
    <cellStyle name="t]_x000d__x000a_color schemes=默认 Windows_x000d__x000a__x000d__x000a_[color schemes]_x000d__x000a_Arizona=804000,FFFFFF,FFFFFF,0,FFFFFF,0,808040,C0C0C0,FFFFF" xfId="672" xr:uid="{00000000-0005-0000-0000-0000A2020000}"/>
    <cellStyle name="Text Indent A" xfId="673" xr:uid="{00000000-0005-0000-0000-0000A3020000}"/>
    <cellStyle name="Text Indent B" xfId="674" xr:uid="{00000000-0005-0000-0000-0000A4020000}"/>
    <cellStyle name="Text Indent C" xfId="675" xr:uid="{00000000-0005-0000-0000-0000A5020000}"/>
    <cellStyle name="Tickmark" xfId="676" xr:uid="{00000000-0005-0000-0000-0000A6020000}"/>
    <cellStyle name="Tusental (0)_pldt" xfId="677" xr:uid="{00000000-0005-0000-0000-0000A7020000}"/>
    <cellStyle name="Tusental_pldt" xfId="678" xr:uid="{00000000-0005-0000-0000-0000A8020000}"/>
    <cellStyle name="Undefiniert" xfId="679" xr:uid="{00000000-0005-0000-0000-0000A9020000}"/>
    <cellStyle name="Valuta (0)_pldt" xfId="680" xr:uid="{00000000-0005-0000-0000-0000AA020000}"/>
    <cellStyle name="Valuta [0]_RESULTS" xfId="681" xr:uid="{00000000-0005-0000-0000-0000AB020000}"/>
    <cellStyle name="Valuta_pldt" xfId="682" xr:uid="{00000000-0005-0000-0000-0000AC020000}"/>
    <cellStyle name="Wahrung [0]_RESULTS" xfId="683" xr:uid="{00000000-0005-0000-0000-0000AD020000}"/>
    <cellStyle name="Wahrung_RESULTS" xfId="684" xr:uid="{00000000-0005-0000-0000-0000AE020000}"/>
    <cellStyle name="wrap" xfId="685" xr:uid="{00000000-0005-0000-0000-0000AF020000}"/>
    <cellStyle name="パーセント_laroux" xfId="686" xr:uid="{00000000-0005-0000-0000-0000B0020000}"/>
    <cellStyle name="_PLDT" xfId="687" xr:uid="{00000000-0005-0000-0000-0000B1020000}"/>
    <cellStyle name="_Total (2)" xfId="688" xr:uid="{00000000-0005-0000-0000-0000B2020000}"/>
    <cellStyle name="だ[0]_PLDT" xfId="689" xr:uid="{00000000-0005-0000-0000-0000B3020000}"/>
    <cellStyle name="だ_PLDT" xfId="690" xr:uid="{00000000-0005-0000-0000-0000B4020000}"/>
    <cellStyle name="だ[0]_Total (2)" xfId="691" xr:uid="{00000000-0005-0000-0000-0000B5020000}"/>
    <cellStyle name="だ_Total (2)" xfId="692" xr:uid="{00000000-0005-0000-0000-0000B6020000}"/>
    <cellStyle name="む|靃0]_Revenuesy Lr L" xfId="693" xr:uid="{00000000-0005-0000-0000-0000B7020000}"/>
    <cellStyle name="む|靇Revenuenuesy L" xfId="694" xr:uid="{00000000-0005-0000-0000-0000B8020000}"/>
    <cellStyle name="콤마 [0]_1.24분기 평가표 " xfId="739" xr:uid="{00000000-0005-0000-0000-00006C030000}"/>
    <cellStyle name="콤마_1.24분기 평가표 " xfId="740" xr:uid="{00000000-0005-0000-0000-00006D030000}"/>
    <cellStyle name="통화 [0]_1.24분기 평가표 " xfId="741" xr:uid="{00000000-0005-0000-0000-00006E030000}"/>
    <cellStyle name="통화_1.24분기 평가표 " xfId="742" xr:uid="{00000000-0005-0000-0000-00006F030000}"/>
    <cellStyle name="표준_(업무)평가단" xfId="743" xr:uid="{00000000-0005-0000-0000-000070030000}"/>
    <cellStyle name="一般 101" xfId="281" xr:uid="{00000000-0005-0000-0000-0000B9020000}"/>
    <cellStyle name="一般 2" xfId="62" xr:uid="{00000000-0005-0000-0000-0000BA020000}"/>
    <cellStyle name="一般 2 2" xfId="216" xr:uid="{00000000-0005-0000-0000-0000BB020000}"/>
    <cellStyle name="一般 2 2 2" xfId="823" xr:uid="{00000000-0005-0000-0000-0000BC020000}"/>
    <cellStyle name="一般 2 2 3" xfId="797" xr:uid="{00000000-0005-0000-0000-0000BD020000}"/>
    <cellStyle name="一般 2 2 3 2" xfId="845" xr:uid="{00000000-0005-0000-0000-0000BE020000}"/>
    <cellStyle name="一般 2 2 4" xfId="765" xr:uid="{00000000-0005-0000-0000-0000BF020000}"/>
    <cellStyle name="一般 2 2 5" xfId="695" xr:uid="{00000000-0005-0000-0000-0000C0020000}"/>
    <cellStyle name="一般 2 3" xfId="40" xr:uid="{00000000-0005-0000-0000-0000C1020000}"/>
    <cellStyle name="一般 2 3 2" xfId="844" xr:uid="{00000000-0005-0000-0000-0000C2020000}"/>
    <cellStyle name="一般 2 3 3" xfId="267" xr:uid="{00000000-0005-0000-0000-0000C3020000}"/>
    <cellStyle name="一般 2 3 4" xfId="796" xr:uid="{00000000-0005-0000-0000-0000C4020000}"/>
    <cellStyle name="一般 2 4" xfId="256" xr:uid="{00000000-0005-0000-0000-0000C5020000}"/>
    <cellStyle name="一般 2 9" xfId="279" xr:uid="{00000000-0005-0000-0000-0000C6020000}"/>
    <cellStyle name="一般 2_2009 (revised)" xfId="264" xr:uid="{00000000-0005-0000-0000-0000C7020000}"/>
    <cellStyle name="一般 3" xfId="222" xr:uid="{00000000-0005-0000-0000-0000C8020000}"/>
    <cellStyle name="一般 3 2" xfId="358" xr:uid="{00000000-0005-0000-0000-0000C9020000}"/>
    <cellStyle name="一般 3 3" xfId="757" xr:uid="{00000000-0005-0000-0000-0000CA020000}"/>
    <cellStyle name="一般 3 4" xfId="258" xr:uid="{00000000-0005-0000-0000-0000CB020000}"/>
    <cellStyle name="一般 4" xfId="285" xr:uid="{00000000-0005-0000-0000-0000CC020000}"/>
    <cellStyle name="一般 4 4" xfId="274" xr:uid="{00000000-0005-0000-0000-0000CD020000}"/>
    <cellStyle name="一般 41 3 3" xfId="63" xr:uid="{00000000-0005-0000-0000-0000CE020000}"/>
    <cellStyle name="一般 41 3 3 2" xfId="97" xr:uid="{00000000-0005-0000-0000-0000CF020000}"/>
    <cellStyle name="一般 41 3 3 2 2" xfId="190" xr:uid="{00000000-0005-0000-0000-0000D0020000}"/>
    <cellStyle name="一般 41 3 3 3" xfId="163" xr:uid="{00000000-0005-0000-0000-0000D1020000}"/>
    <cellStyle name="一般 53 3 3" xfId="65" xr:uid="{00000000-0005-0000-0000-0000D2020000}"/>
    <cellStyle name="一般 53 3 3 2" xfId="99" xr:uid="{00000000-0005-0000-0000-0000D3020000}"/>
    <cellStyle name="一般 53 3 3 2 2" xfId="192" xr:uid="{00000000-0005-0000-0000-0000D4020000}"/>
    <cellStyle name="一般 53 3 3 3" xfId="165" xr:uid="{00000000-0005-0000-0000-0000D5020000}"/>
    <cellStyle name="一般 54 3 3" xfId="64" xr:uid="{00000000-0005-0000-0000-0000D6020000}"/>
    <cellStyle name="一般 54 3 3 2" xfId="98" xr:uid="{00000000-0005-0000-0000-0000D7020000}"/>
    <cellStyle name="一般 54 3 3 2 2" xfId="191" xr:uid="{00000000-0005-0000-0000-0000D8020000}"/>
    <cellStyle name="一般 54 3 3 3" xfId="164" xr:uid="{00000000-0005-0000-0000-0000D9020000}"/>
    <cellStyle name="一般 7" xfId="284" xr:uid="{00000000-0005-0000-0000-0000DA020000}"/>
    <cellStyle name="一般_1501" xfId="696" xr:uid="{00000000-0005-0000-0000-0000DB020000}"/>
    <cellStyle name="分级显示行_1_2002年度报表格式_集团公司" xfId="702" xr:uid="{00000000-0005-0000-0000-000003030000}"/>
    <cellStyle name="千位[0]_ 应交税金审定表" xfId="700" xr:uid="{00000000-0005-0000-0000-0000FF020000}"/>
    <cellStyle name="千位_ 应交税金审定表" xfId="701" xr:uid="{00000000-0005-0000-0000-000000030000}"/>
    <cellStyle name="千位分隔 2" xfId="767" xr:uid="{00000000-0005-0000-0000-000001030000}"/>
    <cellStyle name="千位分隔 3" xfId="872" xr:uid="{00000000-0005-0000-0000-000002030000}"/>
    <cellStyle name="千分位 16" xfId="270" xr:uid="{00000000-0005-0000-0000-0000DC020000}"/>
    <cellStyle name="千分位 16 2" xfId="376" xr:uid="{00000000-0005-0000-0000-0000DD020000}"/>
    <cellStyle name="千分位 2" xfId="226" xr:uid="{00000000-0005-0000-0000-0000DE020000}"/>
    <cellStyle name="千分位 2 2" xfId="209" xr:uid="{00000000-0005-0000-0000-0000DF020000}"/>
    <cellStyle name="千分位 2 2 2" xfId="353" xr:uid="{00000000-0005-0000-0000-0000E0020000}"/>
    <cellStyle name="千分位 2 2 2 2" xfId="59" xr:uid="{00000000-0005-0000-0000-0000E1020000}"/>
    <cellStyle name="千分位 2 2 2 2 2" xfId="309" xr:uid="{00000000-0005-0000-0000-0000E2020000}"/>
    <cellStyle name="千分位 2 2 2 3" xfId="772" xr:uid="{00000000-0005-0000-0000-0000E3020000}"/>
    <cellStyle name="千分位 2 2 3" xfId="799" xr:uid="{00000000-0005-0000-0000-0000E4020000}"/>
    <cellStyle name="千分位 2 2 3 2" xfId="847" xr:uid="{00000000-0005-0000-0000-0000E5020000}"/>
    <cellStyle name="千分位 2 2 4" xfId="698" xr:uid="{00000000-0005-0000-0000-0000E6020000}"/>
    <cellStyle name="千分位 2 3" xfId="261" xr:uid="{00000000-0005-0000-0000-0000E7020000}"/>
    <cellStyle name="千分位 2 3 2" xfId="372" xr:uid="{00000000-0005-0000-0000-0000E8020000}"/>
    <cellStyle name="千分位 2 3 3" xfId="771" xr:uid="{00000000-0005-0000-0000-0000E9020000}"/>
    <cellStyle name="千分位 2 4" xfId="213" xr:uid="{00000000-0005-0000-0000-0000EA020000}"/>
    <cellStyle name="千分位 2 4 2" xfId="355" xr:uid="{00000000-0005-0000-0000-0000EB020000}"/>
    <cellStyle name="千分位 2 4 2 2" xfId="846" xr:uid="{00000000-0005-0000-0000-0000EC020000}"/>
    <cellStyle name="千分位 2 4 3" xfId="798" xr:uid="{00000000-0005-0000-0000-0000ED020000}"/>
    <cellStyle name="千分位 2 5" xfId="210" xr:uid="{00000000-0005-0000-0000-0000EE020000}"/>
    <cellStyle name="千分位 2 5 2" xfId="354" xr:uid="{00000000-0005-0000-0000-0000EF020000}"/>
    <cellStyle name="千分位 2 6" xfId="361" xr:uid="{00000000-0005-0000-0000-0000F0020000}"/>
    <cellStyle name="千分位 2 7" xfId="697" xr:uid="{00000000-0005-0000-0000-0000F1020000}"/>
    <cellStyle name="千分位 2_wpf.east oil 09d" xfId="232" xr:uid="{00000000-0005-0000-0000-0000F2020000}"/>
    <cellStyle name="千分位 3" xfId="262" xr:uid="{00000000-0005-0000-0000-0000F3020000}"/>
    <cellStyle name="千分位 3 2" xfId="373" xr:uid="{00000000-0005-0000-0000-0000F4020000}"/>
    <cellStyle name="千分位 3 2 2" xfId="275" xr:uid="{00000000-0005-0000-0000-0000F5020000}"/>
    <cellStyle name="千分位 3 2 2 2" xfId="378" xr:uid="{00000000-0005-0000-0000-0000F6020000}"/>
    <cellStyle name="千分位 3 3" xfId="758" xr:uid="{00000000-0005-0000-0000-0000F7020000}"/>
    <cellStyle name="千分位 4" xfId="288" xr:uid="{00000000-0005-0000-0000-0000F8020000}"/>
    <cellStyle name="千分位 4 2" xfId="382" xr:uid="{00000000-0005-0000-0000-0000F9020000}"/>
    <cellStyle name="千分位 4 3" xfId="762" xr:uid="{00000000-0005-0000-0000-0000FA020000}"/>
    <cellStyle name="千分位 5" xfId="292" xr:uid="{00000000-0005-0000-0000-0000FB020000}"/>
    <cellStyle name="千分位[0] 2" xfId="764" xr:uid="{00000000-0005-0000-0000-0000FC020000}"/>
    <cellStyle name="千分位[0] 2 2" xfId="775" xr:uid="{00000000-0005-0000-0000-0000FD020000}"/>
    <cellStyle name="千分位_accrued 04-05 II" xfId="699" xr:uid="{00000000-0005-0000-0000-0000FE020000}"/>
    <cellStyle name="后继超级链接_G货币资金" xfId="704" xr:uid="{00000000-0005-0000-0000-00000B030000}"/>
    <cellStyle name="好_WP1" xfId="705" xr:uid="{00000000-0005-0000-0000-00000C030000}"/>
    <cellStyle name="好_WP1 2" xfId="800" xr:uid="{00000000-0005-0000-0000-00000D030000}"/>
    <cellStyle name="好_WP1 2 2" xfId="848" xr:uid="{00000000-0005-0000-0000-00000E030000}"/>
    <cellStyle name="寘嬫愗傝 [0.00]_RFP003B" xfId="729" xr:uid="{00000000-0005-0000-0000-00005A030000}"/>
    <cellStyle name="寘嬫愗傝_Table5" xfId="730" xr:uid="{00000000-0005-0000-0000-00005B030000}"/>
    <cellStyle name="差" xfId="709" xr:uid="{00000000-0005-0000-0000-000029030000}"/>
    <cellStyle name="差 2" xfId="802" xr:uid="{00000000-0005-0000-0000-00002A030000}"/>
    <cellStyle name="差 2 2" xfId="850" xr:uid="{00000000-0005-0000-0000-00002B030000}"/>
    <cellStyle name="常规 2" xfId="871" xr:uid="{00000000-0005-0000-0000-000036030000}"/>
    <cellStyle name="常规 2 2 3" xfId="291" xr:uid="{00000000-0005-0000-0000-000037030000}"/>
    <cellStyle name="常规 2 4" xfId="290" xr:uid="{00000000-0005-0000-0000-000038030000}"/>
    <cellStyle name="常规 3" xfId="873" xr:uid="{00000000-0005-0000-0000-000039030000}"/>
    <cellStyle name="常规_Hospitable Holdings Co Ltd" xfId="715" xr:uid="{00000000-0005-0000-0000-00003A030000}"/>
    <cellStyle name="强调文字颜色 1" xfId="720" xr:uid="{00000000-0005-0000-0000-000042030000}"/>
    <cellStyle name="强调文字颜色 1 2" xfId="804" xr:uid="{00000000-0005-0000-0000-000043030000}"/>
    <cellStyle name="强调文字颜色 1 2 2" xfId="852" xr:uid="{00000000-0005-0000-0000-000044030000}"/>
    <cellStyle name="强调文字颜色 2" xfId="721" xr:uid="{00000000-0005-0000-0000-000045030000}"/>
    <cellStyle name="强调文字颜色 2 2" xfId="805" xr:uid="{00000000-0005-0000-0000-000046030000}"/>
    <cellStyle name="强调文字颜色 2 2 2" xfId="853" xr:uid="{00000000-0005-0000-0000-000047030000}"/>
    <cellStyle name="强调文字颜色 3" xfId="722" xr:uid="{00000000-0005-0000-0000-000048030000}"/>
    <cellStyle name="强调文字颜色 3 2" xfId="806" xr:uid="{00000000-0005-0000-0000-000049030000}"/>
    <cellStyle name="强调文字颜色 3 2 2" xfId="854" xr:uid="{00000000-0005-0000-0000-00004A030000}"/>
    <cellStyle name="强调文字颜色 4" xfId="723" xr:uid="{00000000-0005-0000-0000-00004B030000}"/>
    <cellStyle name="强调文字颜色 4 2" xfId="807" xr:uid="{00000000-0005-0000-0000-00004C030000}"/>
    <cellStyle name="强调文字颜色 4 2 2" xfId="855" xr:uid="{00000000-0005-0000-0000-00004D030000}"/>
    <cellStyle name="强调文字颜色 5" xfId="724" xr:uid="{00000000-0005-0000-0000-00004E030000}"/>
    <cellStyle name="强调文字颜色 5 2" xfId="808" xr:uid="{00000000-0005-0000-0000-00004F030000}"/>
    <cellStyle name="强调文字颜色 5 2 2" xfId="856" xr:uid="{00000000-0005-0000-0000-000050030000}"/>
    <cellStyle name="强调文字颜色 6" xfId="725" xr:uid="{00000000-0005-0000-0000-000051030000}"/>
    <cellStyle name="强调文字颜色 6 2" xfId="809" xr:uid="{00000000-0005-0000-0000-000052030000}"/>
    <cellStyle name="强调文字颜色 6 2 2" xfId="857" xr:uid="{00000000-0005-0000-0000-000053030000}"/>
    <cellStyle name="捠壿 [0.00]_TABLE 3" xfId="744" xr:uid="{00000000-0005-0000-0000-00002C030000}"/>
    <cellStyle name="捠壿_TABLE 3" xfId="745" xr:uid="{00000000-0005-0000-0000-00002D030000}"/>
    <cellStyle name="昗弨_FWBS1100" xfId="707" xr:uid="{00000000-0005-0000-0000-000015030000}"/>
    <cellStyle name="普通_ 白土" xfId="726" xr:uid="{00000000-0005-0000-0000-000054030000}"/>
    <cellStyle name="未定義" xfId="703" xr:uid="{00000000-0005-0000-0000-000007030000}"/>
    <cellStyle name="标题" xfId="746" xr:uid="{00000000-0005-0000-0000-00001A030000}"/>
    <cellStyle name="标题 1" xfId="747" xr:uid="{00000000-0005-0000-0000-00001B030000}"/>
    <cellStyle name="标题 1 2" xfId="815" xr:uid="{00000000-0005-0000-0000-00001C030000}"/>
    <cellStyle name="标题 1 2 2" xfId="863" xr:uid="{00000000-0005-0000-0000-00001D030000}"/>
    <cellStyle name="标题 2" xfId="748" xr:uid="{00000000-0005-0000-0000-00001E030000}"/>
    <cellStyle name="标题 2 2" xfId="816" xr:uid="{00000000-0005-0000-0000-00001F030000}"/>
    <cellStyle name="标题 2 2 2" xfId="864" xr:uid="{00000000-0005-0000-0000-000020030000}"/>
    <cellStyle name="标题 3" xfId="749" xr:uid="{00000000-0005-0000-0000-000021030000}"/>
    <cellStyle name="标题 3 2" xfId="817" xr:uid="{00000000-0005-0000-0000-000022030000}"/>
    <cellStyle name="标题 3 2 2" xfId="865" xr:uid="{00000000-0005-0000-0000-000023030000}"/>
    <cellStyle name="标题 4" xfId="750" xr:uid="{00000000-0005-0000-0000-000024030000}"/>
    <cellStyle name="标题 4 2" xfId="818" xr:uid="{00000000-0005-0000-0000-000025030000}"/>
    <cellStyle name="标题 4 2 2" xfId="866" xr:uid="{00000000-0005-0000-0000-000026030000}"/>
    <cellStyle name="标题 5" xfId="814" xr:uid="{00000000-0005-0000-0000-000027030000}"/>
    <cellStyle name="标题 5 2" xfId="862" xr:uid="{00000000-0005-0000-0000-000028030000}"/>
    <cellStyle name="桁区切り [0.00]_１１月価格表" xfId="710" xr:uid="{00000000-0005-0000-0000-00002E030000}"/>
    <cellStyle name="桁区切り_１１月価格表" xfId="711" xr:uid="{00000000-0005-0000-0000-00002F030000}"/>
    <cellStyle name="检查单元格" xfId="751" xr:uid="{00000000-0005-0000-0000-00003B030000}"/>
    <cellStyle name="检查单元格 2" xfId="819" xr:uid="{00000000-0005-0000-0000-00003C030000}"/>
    <cellStyle name="检查单元格 2 2" xfId="867" xr:uid="{00000000-0005-0000-0000-00003D030000}"/>
    <cellStyle name="標準_１０" xfId="734" xr:uid="{00000000-0005-0000-0000-000065030000}"/>
    <cellStyle name="汇总" xfId="752" xr:uid="{00000000-0005-0000-0000-000008030000}"/>
    <cellStyle name="汇总 2" xfId="820" xr:uid="{00000000-0005-0000-0000-000009030000}"/>
    <cellStyle name="汇总 2 2" xfId="868" xr:uid="{00000000-0005-0000-0000-00000A030000}"/>
    <cellStyle name="注释" xfId="708" xr:uid="{00000000-0005-0000-0000-000016030000}"/>
    <cellStyle name="注释 2" xfId="801" xr:uid="{00000000-0005-0000-0000-000017030000}"/>
    <cellStyle name="注释 2 2" xfId="849" xr:uid="{00000000-0005-0000-0000-000018030000}"/>
    <cellStyle name="烹拳 [0]_97MBO" xfId="716" xr:uid="{00000000-0005-0000-0000-00003E030000}"/>
    <cellStyle name="烹拳_97MBO" xfId="717" xr:uid="{00000000-0005-0000-0000-00003F030000}"/>
    <cellStyle name="百分比 2" xfId="208" xr:uid="{00000000-0005-0000-0000-00000F030000}"/>
    <cellStyle name="百分比 2 2" xfId="283" xr:uid="{00000000-0005-0000-0000-000010030000}"/>
    <cellStyle name="百分比 3" xfId="218" xr:uid="{00000000-0005-0000-0000-000011030000}"/>
    <cellStyle name="百分比 3 2" xfId="356" xr:uid="{00000000-0005-0000-0000-000012030000}"/>
    <cellStyle name="百分比 3 3" xfId="706" xr:uid="{00000000-0005-0000-0000-000013030000}"/>
    <cellStyle name="百分比 6" xfId="277" xr:uid="{00000000-0005-0000-0000-000014030000}"/>
    <cellStyle name="砯刽 [0]_PLDT" xfId="712" xr:uid="{00000000-0005-0000-0000-000030030000}"/>
    <cellStyle name="砯刽_PLDT" xfId="713" xr:uid="{00000000-0005-0000-0000-000031030000}"/>
    <cellStyle name="解释性文本" xfId="731" xr:uid="{00000000-0005-0000-0000-00005C030000}"/>
    <cellStyle name="解释性文本 2" xfId="810" xr:uid="{00000000-0005-0000-0000-00005D030000}"/>
    <cellStyle name="解释性文本 2 2" xfId="858" xr:uid="{00000000-0005-0000-0000-00005E030000}"/>
    <cellStyle name="警告文本" xfId="738" xr:uid="{00000000-0005-0000-0000-000069030000}"/>
    <cellStyle name="警告文本 2" xfId="813" xr:uid="{00000000-0005-0000-0000-00006A030000}"/>
    <cellStyle name="警告文本 2 2" xfId="861" xr:uid="{00000000-0005-0000-0000-00006B030000}"/>
    <cellStyle name="计算" xfId="753" xr:uid="{00000000-0005-0000-0000-000004030000}"/>
    <cellStyle name="计算 2" xfId="821" xr:uid="{00000000-0005-0000-0000-000005030000}"/>
    <cellStyle name="计算 2 2" xfId="869" xr:uid="{00000000-0005-0000-0000-000006030000}"/>
    <cellStyle name="资产" xfId="754" xr:uid="{00000000-0005-0000-0000-000032030000}"/>
    <cellStyle name="超级链接_G货币资金" xfId="728" xr:uid="{00000000-0005-0000-0000-000055030000}"/>
    <cellStyle name="超連結(D0" xfId="727" xr:uid="{00000000-0005-0000-0000-000056030000}"/>
    <cellStyle name="输入" xfId="732" xr:uid="{00000000-0005-0000-0000-00005F030000}"/>
    <cellStyle name="输入 2" xfId="811" xr:uid="{00000000-0005-0000-0000-000060030000}"/>
    <cellStyle name="输入 2 2" xfId="859" xr:uid="{00000000-0005-0000-0000-000061030000}"/>
    <cellStyle name="输出" xfId="733" xr:uid="{00000000-0005-0000-0000-000062030000}"/>
    <cellStyle name="输出 2" xfId="812" xr:uid="{00000000-0005-0000-0000-000063030000}"/>
    <cellStyle name="输出 2 2" xfId="860" xr:uid="{00000000-0005-0000-0000-000064030000}"/>
    <cellStyle name="适中" xfId="714" xr:uid="{00000000-0005-0000-0000-000033030000}"/>
    <cellStyle name="适中 2" xfId="803" xr:uid="{00000000-0005-0000-0000-000034030000}"/>
    <cellStyle name="适中 2 2" xfId="851" xr:uid="{00000000-0005-0000-0000-000035030000}"/>
    <cellStyle name="通貨 [0.00]_１１月価格表" xfId="718" xr:uid="{00000000-0005-0000-0000-000040030000}"/>
    <cellStyle name="通貨_１１月価格表" xfId="719" xr:uid="{00000000-0005-0000-0000-000041030000}"/>
    <cellStyle name="钎霖_laroux" xfId="755" xr:uid="{00000000-0005-0000-0000-000019030000}"/>
    <cellStyle name="链接单元格" xfId="756" xr:uid="{00000000-0005-0000-0000-000057030000}"/>
    <cellStyle name="链接单元格 2" xfId="822" xr:uid="{00000000-0005-0000-0000-000058030000}"/>
    <cellStyle name="链接单元格 2 2" xfId="870" xr:uid="{00000000-0005-0000-0000-000059030000}"/>
    <cellStyle name="隨後的超連結) Liab" xfId="735" xr:uid="{00000000-0005-0000-0000-000066030000}"/>
    <cellStyle name="霓付 [0]_97MBO" xfId="736" xr:uid="{00000000-0005-0000-0000-000067030000}"/>
    <cellStyle name="霓付_97MBO" xfId="737" xr:uid="{00000000-0005-0000-0000-00006803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7"/>
  <sheetViews>
    <sheetView zoomScale="85" zoomScaleNormal="85" workbookViewId="0">
      <selection activeCell="B94" sqref="B94"/>
    </sheetView>
  </sheetViews>
  <sheetFormatPr defaultColWidth="8.85546875" defaultRowHeight="15.75"/>
  <cols>
    <col min="1" max="1" width="83.85546875" style="32" customWidth="1"/>
    <col min="2" max="2" width="24.28515625" style="32" customWidth="1"/>
    <col min="3" max="3" width="17.42578125" style="32" bestFit="1" customWidth="1"/>
    <col min="4" max="16384" width="8.85546875" style="32"/>
  </cols>
  <sheetData>
    <row r="1" spans="1:2">
      <c r="A1" s="24" t="s">
        <v>68</v>
      </c>
      <c r="B1" s="23"/>
    </row>
    <row r="2" spans="1:2">
      <c r="A2" s="22" t="s">
        <v>69</v>
      </c>
      <c r="B2" s="21"/>
    </row>
    <row r="3" spans="1:2">
      <c r="A3" s="20"/>
      <c r="B3" s="21" t="s">
        <v>64</v>
      </c>
    </row>
    <row r="4" spans="1:2">
      <c r="A4" s="19"/>
      <c r="B4" s="3"/>
    </row>
    <row r="5" spans="1:2">
      <c r="A5" s="20"/>
      <c r="B5" s="3"/>
    </row>
    <row r="6" spans="1:2">
      <c r="A6" s="18"/>
      <c r="B6" s="1"/>
    </row>
    <row r="7" spans="1:2">
      <c r="A7" s="37"/>
      <c r="B7" s="31"/>
    </row>
    <row r="8" spans="1:2">
      <c r="A8" s="37"/>
      <c r="B8" s="7">
        <v>2023</v>
      </c>
    </row>
    <row r="9" spans="1:2" ht="31.5">
      <c r="A9" s="17"/>
      <c r="B9" s="4" t="s">
        <v>65</v>
      </c>
    </row>
    <row r="10" spans="1:2">
      <c r="A10" s="36"/>
      <c r="B10" s="30" t="s">
        <v>66</v>
      </c>
    </row>
    <row r="11" spans="1:2">
      <c r="A11" s="36"/>
      <c r="B11" s="30"/>
    </row>
    <row r="12" spans="1:2">
      <c r="A12" s="16" t="s">
        <v>0</v>
      </c>
      <c r="B12" s="5"/>
    </row>
    <row r="13" spans="1:2">
      <c r="A13" s="18" t="s">
        <v>1</v>
      </c>
      <c r="B13" s="8">
        <v>50000</v>
      </c>
    </row>
    <row r="14" spans="1:2">
      <c r="A14" s="18" t="s">
        <v>2</v>
      </c>
      <c r="B14" s="8">
        <v>50000</v>
      </c>
    </row>
    <row r="15" spans="1:2">
      <c r="A15" s="18" t="s">
        <v>3</v>
      </c>
      <c r="B15" s="8">
        <v>50000</v>
      </c>
    </row>
    <row r="16" spans="1:2">
      <c r="A16" s="18" t="s">
        <v>4</v>
      </c>
      <c r="B16" s="8">
        <v>50000</v>
      </c>
    </row>
    <row r="17" spans="1:3">
      <c r="A17" s="18" t="s">
        <v>5</v>
      </c>
      <c r="B17" s="8">
        <v>5000</v>
      </c>
    </row>
    <row r="18" spans="1:3">
      <c r="A18" s="18"/>
      <c r="B18" s="9"/>
    </row>
    <row r="19" spans="1:3">
      <c r="A19" s="18"/>
      <c r="B19" s="10">
        <f>SUM(B13:B18)</f>
        <v>205000</v>
      </c>
    </row>
    <row r="20" spans="1:3">
      <c r="A20" s="17"/>
      <c r="B20" s="8"/>
    </row>
    <row r="21" spans="1:3">
      <c r="A21" s="35" t="s">
        <v>6</v>
      </c>
      <c r="B21" s="8"/>
    </row>
    <row r="22" spans="1:3">
      <c r="A22" s="29" t="s">
        <v>7</v>
      </c>
      <c r="B22" s="8">
        <v>20772262.050000001</v>
      </c>
    </row>
    <row r="23" spans="1:3">
      <c r="A23" s="29" t="s">
        <v>8</v>
      </c>
      <c r="B23" s="8">
        <v>7478060</v>
      </c>
    </row>
    <row r="24" spans="1:3">
      <c r="A24" s="29" t="s">
        <v>9</v>
      </c>
      <c r="B24" s="8">
        <v>90493.26</v>
      </c>
    </row>
    <row r="25" spans="1:3">
      <c r="A25" s="15" t="s">
        <v>70</v>
      </c>
      <c r="B25" s="8">
        <v>40176830.789999999</v>
      </c>
      <c r="C25" s="14"/>
    </row>
    <row r="26" spans="1:3">
      <c r="A26" s="13"/>
      <c r="B26" s="9"/>
    </row>
    <row r="27" spans="1:3">
      <c r="A27" s="13"/>
      <c r="B27" s="10">
        <f>SUM(B22:B26)</f>
        <v>68517646.099999994</v>
      </c>
    </row>
    <row r="28" spans="1:3">
      <c r="B28" s="8"/>
    </row>
    <row r="29" spans="1:3">
      <c r="A29" s="35" t="s">
        <v>10</v>
      </c>
      <c r="B29" s="8"/>
    </row>
    <row r="30" spans="1:3">
      <c r="A30" s="29" t="s">
        <v>11</v>
      </c>
      <c r="B30" s="8">
        <v>-2008382.76</v>
      </c>
    </row>
    <row r="31" spans="1:3">
      <c r="A31" s="29" t="s">
        <v>12</v>
      </c>
      <c r="B31" s="8">
        <v>-295632.65999999997</v>
      </c>
    </row>
    <row r="32" spans="1:3">
      <c r="A32" s="29" t="s">
        <v>13</v>
      </c>
      <c r="B32" s="8">
        <v>-1543421.61</v>
      </c>
    </row>
    <row r="33" spans="1:2">
      <c r="A33" s="29"/>
      <c r="B33" s="9"/>
    </row>
    <row r="34" spans="1:2">
      <c r="A34" s="29"/>
      <c r="B34" s="10">
        <f>SUM(B30:B33)</f>
        <v>-3847437.0300000003</v>
      </c>
    </row>
    <row r="35" spans="1:2">
      <c r="A35" s="29"/>
      <c r="B35" s="25"/>
    </row>
    <row r="36" spans="1:2">
      <c r="A36" s="22" t="s">
        <v>74</v>
      </c>
      <c r="B36" s="10">
        <f>B27+B34</f>
        <v>64670209.069999993</v>
      </c>
    </row>
    <row r="37" spans="1:2">
      <c r="A37" s="22"/>
      <c r="B37" s="8"/>
    </row>
    <row r="38" spans="1:2" ht="16.5" thickBot="1">
      <c r="A38" s="11" t="s">
        <v>75</v>
      </c>
      <c r="B38" s="12">
        <f>B36+B19</f>
        <v>64875209.069999993</v>
      </c>
    </row>
    <row r="39" spans="1:2" ht="16.5" thickTop="1">
      <c r="A39" s="29"/>
      <c r="B39" s="8"/>
    </row>
    <row r="40" spans="1:2">
      <c r="A40" s="29"/>
      <c r="B40" s="8"/>
    </row>
    <row r="41" spans="1:2">
      <c r="A41" s="35" t="s">
        <v>14</v>
      </c>
      <c r="B41" s="8"/>
    </row>
    <row r="42" spans="1:2">
      <c r="A42" s="29" t="s">
        <v>15</v>
      </c>
      <c r="B42" s="8">
        <v>-100000000</v>
      </c>
    </row>
    <row r="43" spans="1:2">
      <c r="A43" s="29" t="s">
        <v>16</v>
      </c>
      <c r="B43" s="8">
        <v>31869307.959999997</v>
      </c>
    </row>
    <row r="44" spans="1:2">
      <c r="A44" s="29" t="s">
        <v>71</v>
      </c>
      <c r="B44" s="9">
        <v>3255482.9700000007</v>
      </c>
    </row>
    <row r="45" spans="1:2">
      <c r="A45" s="29"/>
      <c r="B45" s="25"/>
    </row>
    <row r="46" spans="1:2" ht="16.5" thickBot="1">
      <c r="A46" s="29"/>
      <c r="B46" s="12">
        <f>SUM(B42:B45)</f>
        <v>-64875209.070000008</v>
      </c>
    </row>
    <row r="47" spans="1:2" ht="16.5" thickTop="1">
      <c r="A47" s="22" t="s">
        <v>72</v>
      </c>
      <c r="B47" s="8">
        <f>B38+B46</f>
        <v>0</v>
      </c>
    </row>
    <row r="48" spans="1:2">
      <c r="A48" s="22"/>
      <c r="B48" s="8"/>
    </row>
    <row r="49" spans="1:2">
      <c r="A49" s="22"/>
      <c r="B49" s="8"/>
    </row>
    <row r="50" spans="1:2">
      <c r="A50" s="22" t="s">
        <v>73</v>
      </c>
      <c r="B50" s="8"/>
    </row>
    <row r="51" spans="1:2">
      <c r="A51" s="22"/>
      <c r="B51" s="8"/>
    </row>
    <row r="52" spans="1:2">
      <c r="A52" s="35" t="s">
        <v>17</v>
      </c>
      <c r="B52" s="8"/>
    </row>
    <row r="53" spans="1:2">
      <c r="A53" s="29" t="s">
        <v>18</v>
      </c>
      <c r="B53" s="8">
        <v>-1122868.7699999996</v>
      </c>
    </row>
    <row r="54" spans="1:2">
      <c r="A54" s="29" t="s">
        <v>19</v>
      </c>
      <c r="B54" s="8">
        <v>-223631.19999999998</v>
      </c>
    </row>
    <row r="55" spans="1:2">
      <c r="A55" s="29"/>
      <c r="B55" s="9"/>
    </row>
    <row r="56" spans="1:2">
      <c r="A56" s="29"/>
      <c r="B56" s="10">
        <f>SUM(B53:B55)</f>
        <v>-1346499.9699999995</v>
      </c>
    </row>
    <row r="57" spans="1:2">
      <c r="A57" s="29"/>
      <c r="B57" s="8"/>
    </row>
    <row r="58" spans="1:2">
      <c r="A58" s="29"/>
      <c r="B58" s="8"/>
    </row>
    <row r="59" spans="1:2">
      <c r="A59" s="35" t="s">
        <v>20</v>
      </c>
      <c r="B59" s="8"/>
    </row>
    <row r="60" spans="1:2">
      <c r="A60" s="29" t="s">
        <v>21</v>
      </c>
      <c r="B60" s="8">
        <v>-30.8</v>
      </c>
    </row>
    <row r="61" spans="1:2">
      <c r="A61" s="29" t="s">
        <v>22</v>
      </c>
      <c r="B61" s="8">
        <v>-83.6</v>
      </c>
    </row>
    <row r="62" spans="1:2">
      <c r="A62" s="29" t="s">
        <v>23</v>
      </c>
      <c r="B62" s="8">
        <v>-6959.03</v>
      </c>
    </row>
    <row r="63" spans="1:2">
      <c r="A63" s="29" t="s">
        <v>24</v>
      </c>
      <c r="B63" s="8">
        <v>-1176</v>
      </c>
    </row>
    <row r="64" spans="1:2">
      <c r="A64" s="29" t="s">
        <v>25</v>
      </c>
      <c r="B64" s="8">
        <v>-120</v>
      </c>
    </row>
    <row r="65" spans="1:2">
      <c r="A65" s="29" t="s">
        <v>26</v>
      </c>
      <c r="B65" s="8">
        <v>-5211.83</v>
      </c>
    </row>
    <row r="66" spans="1:2">
      <c r="A66" s="29" t="s">
        <v>27</v>
      </c>
      <c r="B66" s="8">
        <v>119621.1545977011</v>
      </c>
    </row>
    <row r="67" spans="1:2">
      <c r="A67" s="29" t="s">
        <v>28</v>
      </c>
      <c r="B67" s="8">
        <v>2077404.9954022989</v>
      </c>
    </row>
    <row r="68" spans="1:2">
      <c r="A68" s="29" t="s">
        <v>29</v>
      </c>
      <c r="B68" s="8">
        <v>-143437.5</v>
      </c>
    </row>
    <row r="69" spans="1:2">
      <c r="A69" s="29" t="s">
        <v>30</v>
      </c>
      <c r="B69" s="8">
        <v>-964471.67</v>
      </c>
    </row>
    <row r="70" spans="1:2">
      <c r="A70" s="29"/>
      <c r="B70" s="9"/>
    </row>
    <row r="71" spans="1:2">
      <c r="A71" s="29"/>
      <c r="B71" s="28">
        <f>SUM(B60:B70)</f>
        <v>1075535.7200000002</v>
      </c>
    </row>
    <row r="72" spans="1:2">
      <c r="A72" s="29"/>
      <c r="B72" s="8"/>
    </row>
    <row r="73" spans="1:2">
      <c r="A73" s="29"/>
      <c r="B73" s="33">
        <f>B56+B71</f>
        <v>-270964.2499999993</v>
      </c>
    </row>
    <row r="74" spans="1:2">
      <c r="A74" s="29"/>
      <c r="B74" s="8"/>
    </row>
    <row r="75" spans="1:2">
      <c r="A75" s="29"/>
      <c r="B75" s="8"/>
    </row>
    <row r="76" spans="1:2">
      <c r="A76" s="35" t="s">
        <v>31</v>
      </c>
      <c r="B76" s="8"/>
    </row>
    <row r="77" spans="1:2">
      <c r="A77" s="29" t="s">
        <v>32</v>
      </c>
      <c r="B77" s="8">
        <v>579158.52</v>
      </c>
    </row>
    <row r="78" spans="1:2">
      <c r="A78" s="29" t="s">
        <v>33</v>
      </c>
      <c r="B78" s="8">
        <v>27427.940000000002</v>
      </c>
    </row>
    <row r="79" spans="1:2">
      <c r="A79" s="29" t="s">
        <v>34</v>
      </c>
      <c r="B79" s="8">
        <v>20000</v>
      </c>
    </row>
    <row r="80" spans="1:2">
      <c r="A80" s="29" t="s">
        <v>35</v>
      </c>
      <c r="B80" s="8">
        <v>642000</v>
      </c>
    </row>
    <row r="81" spans="1:2">
      <c r="A81" s="29" t="s">
        <v>36</v>
      </c>
      <c r="B81" s="8">
        <v>2554.4</v>
      </c>
    </row>
    <row r="82" spans="1:2">
      <c r="A82" s="29" t="s">
        <v>37</v>
      </c>
      <c r="B82" s="8">
        <v>853138.71000000008</v>
      </c>
    </row>
    <row r="83" spans="1:2">
      <c r="A83" s="29" t="s">
        <v>38</v>
      </c>
      <c r="B83" s="8">
        <v>524461.70000000007</v>
      </c>
    </row>
    <row r="84" spans="1:2">
      <c r="A84" s="29" t="s">
        <v>39</v>
      </c>
      <c r="B84" s="8">
        <v>130000</v>
      </c>
    </row>
    <row r="85" spans="1:2">
      <c r="A85" s="29" t="s">
        <v>40</v>
      </c>
      <c r="B85" s="8">
        <v>2050</v>
      </c>
    </row>
    <row r="86" spans="1:2">
      <c r="A86" s="29" t="s">
        <v>41</v>
      </c>
      <c r="B86" s="8">
        <v>125</v>
      </c>
    </row>
    <row r="87" spans="1:2">
      <c r="A87" s="29" t="s">
        <v>42</v>
      </c>
      <c r="B87" s="8">
        <v>1502</v>
      </c>
    </row>
    <row r="88" spans="1:2">
      <c r="A88" s="29" t="s">
        <v>43</v>
      </c>
      <c r="B88" s="8">
        <v>38325.769999999997</v>
      </c>
    </row>
    <row r="89" spans="1:2">
      <c r="A89" s="29" t="s">
        <v>44</v>
      </c>
      <c r="B89" s="8">
        <v>404969.78</v>
      </c>
    </row>
    <row r="90" spans="1:2">
      <c r="A90" s="29" t="s">
        <v>45</v>
      </c>
      <c r="B90" s="8">
        <v>49170</v>
      </c>
    </row>
    <row r="91" spans="1:2">
      <c r="A91" s="29" t="s">
        <v>46</v>
      </c>
      <c r="B91" s="8">
        <v>5791.33</v>
      </c>
    </row>
    <row r="92" spans="1:2">
      <c r="A92" s="29" t="s">
        <v>47</v>
      </c>
      <c r="B92" s="8">
        <v>37971.94</v>
      </c>
    </row>
    <row r="93" spans="1:2">
      <c r="A93" s="29" t="s">
        <v>48</v>
      </c>
      <c r="B93" s="8">
        <v>3224.68</v>
      </c>
    </row>
    <row r="94" spans="1:2">
      <c r="A94" s="29" t="s">
        <v>49</v>
      </c>
      <c r="B94" s="8">
        <v>71.290000000000006</v>
      </c>
    </row>
    <row r="95" spans="1:2">
      <c r="A95" s="29" t="s">
        <v>50</v>
      </c>
      <c r="B95" s="8">
        <v>1600.11</v>
      </c>
    </row>
    <row r="96" spans="1:2">
      <c r="A96" s="29" t="s">
        <v>51</v>
      </c>
      <c r="B96" s="8">
        <v>2.25</v>
      </c>
    </row>
    <row r="97" spans="1:2">
      <c r="A97" s="29" t="s">
        <v>52</v>
      </c>
      <c r="B97" s="8">
        <v>10039.25</v>
      </c>
    </row>
    <row r="98" spans="1:2">
      <c r="A98" s="29" t="s">
        <v>53</v>
      </c>
      <c r="B98" s="8">
        <v>228.3</v>
      </c>
    </row>
    <row r="99" spans="1:2">
      <c r="A99" s="29" t="s">
        <v>54</v>
      </c>
      <c r="B99" s="8">
        <v>1363.5</v>
      </c>
    </row>
    <row r="100" spans="1:2">
      <c r="A100" s="29" t="s">
        <v>55</v>
      </c>
      <c r="B100" s="8">
        <v>1592.5900000000001</v>
      </c>
    </row>
    <row r="101" spans="1:2">
      <c r="A101" s="29" t="s">
        <v>56</v>
      </c>
      <c r="B101" s="8">
        <v>198.5</v>
      </c>
    </row>
    <row r="102" spans="1:2">
      <c r="A102" s="29" t="s">
        <v>57</v>
      </c>
      <c r="B102" s="8">
        <v>82679.659999999989</v>
      </c>
    </row>
    <row r="103" spans="1:2">
      <c r="A103" s="29" t="s">
        <v>58</v>
      </c>
      <c r="B103" s="8">
        <v>106800</v>
      </c>
    </row>
    <row r="104" spans="1:2">
      <c r="A104" s="29"/>
      <c r="B104" s="8"/>
    </row>
    <row r="105" spans="1:2">
      <c r="B105" s="28">
        <f>SUM(B77:B104)</f>
        <v>3526447.22</v>
      </c>
    </row>
    <row r="107" spans="1:2">
      <c r="A107" s="38"/>
      <c r="B107" s="34"/>
    </row>
    <row r="108" spans="1:2">
      <c r="A108" s="38" t="s">
        <v>62</v>
      </c>
      <c r="B108" s="27">
        <f>B105+B73</f>
        <v>3255482.9700000007</v>
      </c>
    </row>
    <row r="109" spans="1:2">
      <c r="A109" s="38"/>
      <c r="B109" s="1"/>
    </row>
    <row r="110" spans="1:2">
      <c r="A110" s="38"/>
      <c r="B110" s="1"/>
    </row>
    <row r="111" spans="1:2">
      <c r="A111" s="26" t="s">
        <v>59</v>
      </c>
      <c r="B111" s="8"/>
    </row>
    <row r="112" spans="1:2">
      <c r="A112" s="29" t="s">
        <v>60</v>
      </c>
      <c r="B112" s="8">
        <v>0</v>
      </c>
    </row>
    <row r="113" spans="1:2">
      <c r="A113" s="38"/>
      <c r="B113" s="1"/>
    </row>
    <row r="114" spans="1:2" ht="16.5" thickBot="1">
      <c r="A114" s="16" t="s">
        <v>63</v>
      </c>
      <c r="B114" s="6">
        <f>B108+B112</f>
        <v>3255482.9700000007</v>
      </c>
    </row>
    <row r="115" spans="1:2" ht="16.5" thickTop="1">
      <c r="A115" s="20"/>
      <c r="B115" s="2"/>
    </row>
    <row r="116" spans="1:2">
      <c r="A116" s="20" t="s">
        <v>61</v>
      </c>
      <c r="B116" s="2"/>
    </row>
    <row r="117" spans="1:2">
      <c r="B117" s="2" t="s">
        <v>67</v>
      </c>
    </row>
  </sheetData>
  <phoneticPr fontId="3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abSelected="1" workbookViewId="0">
      <selection activeCell="E14" sqref="E14"/>
    </sheetView>
  </sheetViews>
  <sheetFormatPr defaultRowHeight="15"/>
  <sheetData/>
  <phoneticPr fontId="3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honeticPr fontId="3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2025-03-23T07:25:43Z</dcterms:modified>
</cp:coreProperties>
</file>